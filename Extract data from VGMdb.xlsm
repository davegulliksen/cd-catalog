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J:\GitHub\CD-Catalog\"/>
    </mc:Choice>
  </mc:AlternateContent>
  <xr:revisionPtr revIDLastSave="0" documentId="13_ncr:1_{BA794590-E5DC-46F3-AF2D-7208F89F27B6}" xr6:coauthVersionLast="47" xr6:coauthVersionMax="47" xr10:uidLastSave="{00000000-0000-0000-0000-000000000000}"/>
  <bookViews>
    <workbookView xWindow="400" yWindow="10" windowWidth="18800" windowHeight="10790" activeTab="4" xr2:uid="{E4A4301F-5631-4B58-BC0D-1E53724756D5}"/>
  </bookViews>
  <sheets>
    <sheet name="Sheet1" sheetId="1" r:id="rId1"/>
    <sheet name="VGMdbExtract" sheetId="2" r:id="rId2"/>
    <sheet name="Albums" sheetId="3" r:id="rId3"/>
    <sheet name="TestVGMdbURL" sheetId="5" r:id="rId4"/>
    <sheet name="AddlVGMdbExtract" sheetId="4" r:id="rId5"/>
  </sheets>
  <definedNames>
    <definedName name="_xlnm._FilterDatabase" localSheetId="4" hidden="1">AddlVGMdbExtract!$A$1:$B$235</definedName>
    <definedName name="_xlnm._FilterDatabase" localSheetId="2" hidden="1">Albums!$A$1:$F$234</definedName>
    <definedName name="_xlnm._FilterDatabase" localSheetId="3" hidden="1">TestVGMdbURL!$A$1:$F$235</definedName>
    <definedName name="_xleta.MATCH" hidden="1" xlm="1">#NAME?</definedName>
    <definedName name="_xleta.OR" hidden="1" xlm="1">#NAME?</definedName>
    <definedName name="name_sourcecode" localSheetId="1">VGMdbExtract!$A:$A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5" i="4" l="1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D234" i="3"/>
  <c r="A234" i="3" s="1"/>
  <c r="C234" i="3"/>
  <c r="E234" i="3" s="1"/>
  <c r="B127" i="4"/>
  <c r="A3" i="5"/>
  <c r="A4" i="5" s="1"/>
  <c r="A5" i="5" l="1"/>
  <c r="A6" i="5" l="1"/>
  <c r="A7" i="5" l="1"/>
  <c r="A8" i="5" l="1"/>
  <c r="A9" i="5" l="1"/>
  <c r="D233" i="3"/>
  <c r="A233" i="3" s="1"/>
  <c r="C233" i="3"/>
  <c r="E233" i="3" s="1"/>
  <c r="D232" i="3"/>
  <c r="A232" i="3" s="1"/>
  <c r="C232" i="3"/>
  <c r="D231" i="3"/>
  <c r="A231" i="3" s="1"/>
  <c r="C231" i="3"/>
  <c r="D230" i="3"/>
  <c r="A230" i="3" s="1"/>
  <c r="C230" i="3"/>
  <c r="D229" i="3"/>
  <c r="A229" i="3" s="1"/>
  <c r="C229" i="3"/>
  <c r="D228" i="3"/>
  <c r="A228" i="3" s="1"/>
  <c r="C228" i="3"/>
  <c r="D227" i="3"/>
  <c r="A227" i="3" s="1"/>
  <c r="C227" i="3"/>
  <c r="D226" i="3"/>
  <c r="A226" i="3" s="1"/>
  <c r="C226" i="3"/>
  <c r="D225" i="3"/>
  <c r="A225" i="3" s="1"/>
  <c r="C225" i="3"/>
  <c r="D224" i="3"/>
  <c r="A224" i="3" s="1"/>
  <c r="C224" i="3"/>
  <c r="D223" i="3"/>
  <c r="A223" i="3" s="1"/>
  <c r="C223" i="3"/>
  <c r="D222" i="3"/>
  <c r="A222" i="3" s="1"/>
  <c r="C222" i="3"/>
  <c r="D221" i="3"/>
  <c r="A221" i="3" s="1"/>
  <c r="C221" i="3"/>
  <c r="D220" i="3"/>
  <c r="A220" i="3" s="1"/>
  <c r="C220" i="3"/>
  <c r="E220" i="3" l="1"/>
  <c r="E223" i="3"/>
  <c r="E227" i="3"/>
  <c r="E231" i="3"/>
  <c r="E221" i="3"/>
  <c r="E229" i="3"/>
  <c r="E222" i="3"/>
  <c r="E224" i="3"/>
  <c r="E228" i="3"/>
  <c r="E232" i="3"/>
  <c r="E225" i="3"/>
  <c r="E226" i="3"/>
  <c r="E230" i="3"/>
  <c r="A10" i="5"/>
  <c r="A11" i="5" s="1"/>
  <c r="C219" i="3"/>
  <c r="E219" i="3" s="1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D219" i="3"/>
  <c r="A219" i="3" s="1"/>
  <c r="D218" i="3"/>
  <c r="A218" i="3" s="1"/>
  <c r="D217" i="3"/>
  <c r="A217" i="3" s="1"/>
  <c r="D216" i="3"/>
  <c r="A216" i="3" s="1"/>
  <c r="E208" i="3" l="1"/>
  <c r="E216" i="3"/>
  <c r="E201" i="3"/>
  <c r="E218" i="3"/>
  <c r="E29" i="3"/>
  <c r="E10" i="3"/>
  <c r="E18" i="3"/>
  <c r="E26" i="3"/>
  <c r="E42" i="3"/>
  <c r="E57" i="3"/>
  <c r="E81" i="3"/>
  <c r="E103" i="3"/>
  <c r="E141" i="3"/>
  <c r="E171" i="3"/>
  <c r="E194" i="3"/>
  <c r="E19" i="3"/>
  <c r="E43" i="3"/>
  <c r="E51" i="3"/>
  <c r="E67" i="3"/>
  <c r="E83" i="3"/>
  <c r="E112" i="3"/>
  <c r="E52" i="3"/>
  <c r="E182" i="3"/>
  <c r="E6" i="3"/>
  <c r="E30" i="3"/>
  <c r="E31" i="3"/>
  <c r="E54" i="3"/>
  <c r="E86" i="3"/>
  <c r="E16" i="3"/>
  <c r="E32" i="3"/>
  <c r="E48" i="3"/>
  <c r="E9" i="3"/>
  <c r="E17" i="3"/>
  <c r="E25" i="3"/>
  <c r="E33" i="3"/>
  <c r="E41" i="3"/>
  <c r="E49" i="3"/>
  <c r="E56" i="3"/>
  <c r="E64" i="3"/>
  <c r="E72" i="3"/>
  <c r="E80" i="3"/>
  <c r="E88" i="3"/>
  <c r="E95" i="3"/>
  <c r="E102" i="3"/>
  <c r="E110" i="3"/>
  <c r="E116" i="3"/>
  <c r="E124" i="3"/>
  <c r="E132" i="3"/>
  <c r="E140" i="3"/>
  <c r="E147" i="3"/>
  <c r="E155" i="3"/>
  <c r="E163" i="3"/>
  <c r="E170" i="3"/>
  <c r="E178" i="3"/>
  <c r="E186" i="3"/>
  <c r="E193" i="3"/>
  <c r="E200" i="3"/>
  <c r="E207" i="3"/>
  <c r="E215" i="3"/>
  <c r="E105" i="3"/>
  <c r="E127" i="3"/>
  <c r="E158" i="3"/>
  <c r="E210" i="3"/>
  <c r="E1" i="3"/>
  <c r="E2" i="3"/>
  <c r="E34" i="3"/>
  <c r="E50" i="3"/>
  <c r="E73" i="3"/>
  <c r="E89" i="3"/>
  <c r="E125" i="3"/>
  <c r="E156" i="3"/>
  <c r="E179" i="3"/>
  <c r="E3" i="3"/>
  <c r="E27" i="3"/>
  <c r="E66" i="3"/>
  <c r="E74" i="3"/>
  <c r="E82" i="3"/>
  <c r="E97" i="3"/>
  <c r="E104" i="3"/>
  <c r="E111" i="3"/>
  <c r="E118" i="3"/>
  <c r="E126" i="3"/>
  <c r="E134" i="3"/>
  <c r="E142" i="3"/>
  <c r="E149" i="3"/>
  <c r="E157" i="3"/>
  <c r="E165" i="3"/>
  <c r="E172" i="3"/>
  <c r="E180" i="3"/>
  <c r="E188" i="3"/>
  <c r="E195" i="3"/>
  <c r="E209" i="3"/>
  <c r="E217" i="3"/>
  <c r="E4" i="3"/>
  <c r="E12" i="3"/>
  <c r="E20" i="3"/>
  <c r="E28" i="3"/>
  <c r="E36" i="3"/>
  <c r="E44" i="3"/>
  <c r="E59" i="3"/>
  <c r="E75" i="3"/>
  <c r="E90" i="3"/>
  <c r="E98" i="3"/>
  <c r="E119" i="3"/>
  <c r="E135" i="3"/>
  <c r="E150" i="3"/>
  <c r="E173" i="3"/>
  <c r="E181" i="3"/>
  <c r="E189" i="3"/>
  <c r="E196" i="3"/>
  <c r="E202" i="3"/>
  <c r="E5" i="3"/>
  <c r="E21" i="3"/>
  <c r="E60" i="3"/>
  <c r="E84" i="3"/>
  <c r="E99" i="3"/>
  <c r="E113" i="3"/>
  <c r="E128" i="3"/>
  <c r="E151" i="3"/>
  <c r="E166" i="3"/>
  <c r="E197" i="3"/>
  <c r="E211" i="3"/>
  <c r="E14" i="3"/>
  <c r="E46" i="3"/>
  <c r="E61" i="3"/>
  <c r="E100" i="3"/>
  <c r="E107" i="3"/>
  <c r="E121" i="3"/>
  <c r="E129" i="3"/>
  <c r="E137" i="3"/>
  <c r="E144" i="3"/>
  <c r="E152" i="3"/>
  <c r="E160" i="3"/>
  <c r="E167" i="3"/>
  <c r="E175" i="3"/>
  <c r="E183" i="3"/>
  <c r="E191" i="3"/>
  <c r="E204" i="3"/>
  <c r="E212" i="3"/>
  <c r="E65" i="3"/>
  <c r="E96" i="3"/>
  <c r="E117" i="3"/>
  <c r="E133" i="3"/>
  <c r="E148" i="3"/>
  <c r="E164" i="3"/>
  <c r="E187" i="3"/>
  <c r="E11" i="3"/>
  <c r="E35" i="3"/>
  <c r="E58" i="3"/>
  <c r="E13" i="3"/>
  <c r="E37" i="3"/>
  <c r="E76" i="3"/>
  <c r="E143" i="3"/>
  <c r="E23" i="3"/>
  <c r="E39" i="3"/>
  <c r="E62" i="3"/>
  <c r="E78" i="3"/>
  <c r="E93" i="3"/>
  <c r="E101" i="3"/>
  <c r="E108" i="3"/>
  <c r="E114" i="3"/>
  <c r="E122" i="3"/>
  <c r="E130" i="3"/>
  <c r="E138" i="3"/>
  <c r="E145" i="3"/>
  <c r="E153" i="3"/>
  <c r="E161" i="3"/>
  <c r="E168" i="3"/>
  <c r="E176" i="3"/>
  <c r="E184" i="3"/>
  <c r="E198" i="3"/>
  <c r="E205" i="3"/>
  <c r="E213" i="3"/>
  <c r="E45" i="3"/>
  <c r="E68" i="3"/>
  <c r="E91" i="3"/>
  <c r="E106" i="3"/>
  <c r="E120" i="3"/>
  <c r="E136" i="3"/>
  <c r="E159" i="3"/>
  <c r="E174" i="3"/>
  <c r="E190" i="3"/>
  <c r="E203" i="3"/>
  <c r="E22" i="3"/>
  <c r="E38" i="3"/>
  <c r="E53" i="3"/>
  <c r="E69" i="3"/>
  <c r="E77" i="3"/>
  <c r="E85" i="3"/>
  <c r="E92" i="3"/>
  <c r="E7" i="3"/>
  <c r="E15" i="3"/>
  <c r="E47" i="3"/>
  <c r="E70" i="3"/>
  <c r="E9" i="5" a="1"/>
  <c r="E9" i="5" s="1"/>
  <c r="E8" i="3"/>
  <c r="E24" i="3"/>
  <c r="E40" i="3"/>
  <c r="E55" i="3"/>
  <c r="E63" i="3"/>
  <c r="E71" i="3"/>
  <c r="E79" i="3"/>
  <c r="E87" i="3"/>
  <c r="E94" i="3"/>
  <c r="E109" i="3"/>
  <c r="E115" i="3"/>
  <c r="E123" i="3"/>
  <c r="E131" i="3"/>
  <c r="E139" i="3"/>
  <c r="E146" i="3"/>
  <c r="E154" i="3"/>
  <c r="E162" i="3"/>
  <c r="E169" i="3"/>
  <c r="E177" i="3"/>
  <c r="E185" i="3"/>
  <c r="E192" i="3"/>
  <c r="E199" i="3"/>
  <c r="E206" i="3"/>
  <c r="E214" i="3"/>
  <c r="E11" i="5" a="1"/>
  <c r="E11" i="5" s="1"/>
  <c r="B11" i="5" a="1"/>
  <c r="B11" i="5" s="1"/>
  <c r="A12" i="5"/>
  <c r="B5" i="5" a="1"/>
  <c r="B5" i="5" s="1"/>
  <c r="E5" i="5" a="1"/>
  <c r="E5" i="5" s="1"/>
  <c r="E6" i="5" a="1"/>
  <c r="E6" i="5" s="1"/>
  <c r="B6" i="5" a="1"/>
  <c r="B6" i="5" s="1"/>
  <c r="E7" i="5" a="1"/>
  <c r="E7" i="5" s="1"/>
  <c r="B7" i="5" a="1"/>
  <c r="B7" i="5" s="1"/>
  <c r="B9" i="5" a="1"/>
  <c r="B9" i="5" s="1"/>
  <c r="E2" i="5" a="1"/>
  <c r="E2" i="5" s="1"/>
  <c r="B2" i="5" a="1"/>
  <c r="B2" i="5" s="1"/>
  <c r="B3" i="5" a="1"/>
  <c r="B3" i="5" s="1"/>
  <c r="E3" i="5" a="1"/>
  <c r="E3" i="5" s="1"/>
  <c r="B8" i="5" a="1"/>
  <c r="B8" i="5" s="1"/>
  <c r="E8" i="5" a="1"/>
  <c r="E8" i="5" s="1"/>
  <c r="B4" i="5" a="1"/>
  <c r="B4" i="5" s="1"/>
  <c r="E4" i="5" a="1"/>
  <c r="E4" i="5" s="1"/>
  <c r="B10" i="5" a="1"/>
  <c r="B10" i="5" s="1"/>
  <c r="E10" i="5" a="1"/>
  <c r="E10" i="5" s="1"/>
  <c r="D215" i="3"/>
  <c r="A215" i="3" s="1"/>
  <c r="D214" i="3"/>
  <c r="A214" i="3" s="1"/>
  <c r="D213" i="3"/>
  <c r="A213" i="3" s="1"/>
  <c r="D212" i="3"/>
  <c r="A212" i="3" s="1"/>
  <c r="D211" i="3"/>
  <c r="A211" i="3" s="1"/>
  <c r="D210" i="3"/>
  <c r="A210" i="3" s="1"/>
  <c r="D209" i="3"/>
  <c r="A209" i="3" s="1"/>
  <c r="D208" i="3"/>
  <c r="A208" i="3" s="1"/>
  <c r="D207" i="3"/>
  <c r="A207" i="3" s="1"/>
  <c r="D206" i="3"/>
  <c r="A206" i="3" s="1"/>
  <c r="D205" i="3"/>
  <c r="A205" i="3" s="1"/>
  <c r="D204" i="3"/>
  <c r="A204" i="3" s="1"/>
  <c r="D203" i="3"/>
  <c r="A203" i="3" s="1"/>
  <c r="D202" i="3"/>
  <c r="A202" i="3" s="1"/>
  <c r="D201" i="3"/>
  <c r="A201" i="3" s="1"/>
  <c r="D200" i="3"/>
  <c r="A200" i="3" s="1"/>
  <c r="D199" i="3"/>
  <c r="A199" i="3" s="1"/>
  <c r="D198" i="3"/>
  <c r="A198" i="3" s="1"/>
  <c r="D197" i="3"/>
  <c r="A197" i="3" s="1"/>
  <c r="D196" i="3"/>
  <c r="A196" i="3" s="1"/>
  <c r="D195" i="3"/>
  <c r="A195" i="3" s="1"/>
  <c r="D194" i="3"/>
  <c r="A194" i="3" s="1"/>
  <c r="D193" i="3"/>
  <c r="A193" i="3" s="1"/>
  <c r="D192" i="3"/>
  <c r="A192" i="3" s="1"/>
  <c r="D191" i="3"/>
  <c r="A191" i="3" s="1"/>
  <c r="D190" i="3"/>
  <c r="A190" i="3" s="1"/>
  <c r="D189" i="3"/>
  <c r="A189" i="3" s="1"/>
  <c r="D188" i="3"/>
  <c r="A188" i="3" s="1"/>
  <c r="D187" i="3"/>
  <c r="A187" i="3" s="1"/>
  <c r="D186" i="3"/>
  <c r="A186" i="3" s="1"/>
  <c r="D185" i="3"/>
  <c r="A185" i="3" s="1"/>
  <c r="D184" i="3"/>
  <c r="A184" i="3" s="1"/>
  <c r="D183" i="3"/>
  <c r="A183" i="3" s="1"/>
  <c r="D182" i="3"/>
  <c r="A182" i="3" s="1"/>
  <c r="D181" i="3"/>
  <c r="A181" i="3" s="1"/>
  <c r="D180" i="3"/>
  <c r="A180" i="3" s="1"/>
  <c r="D179" i="3"/>
  <c r="A179" i="3" s="1"/>
  <c r="D178" i="3"/>
  <c r="A178" i="3" s="1"/>
  <c r="D177" i="3"/>
  <c r="A177" i="3" s="1"/>
  <c r="D176" i="3"/>
  <c r="A176" i="3" s="1"/>
  <c r="D175" i="3"/>
  <c r="A175" i="3" s="1"/>
  <c r="D174" i="3"/>
  <c r="A174" i="3" s="1"/>
  <c r="D173" i="3"/>
  <c r="A173" i="3" s="1"/>
  <c r="D172" i="3"/>
  <c r="A172" i="3" s="1"/>
  <c r="D171" i="3"/>
  <c r="A171" i="3" s="1"/>
  <c r="D170" i="3"/>
  <c r="A170" i="3" s="1"/>
  <c r="D169" i="3"/>
  <c r="A169" i="3" s="1"/>
  <c r="D168" i="3"/>
  <c r="A168" i="3" s="1"/>
  <c r="D167" i="3"/>
  <c r="A167" i="3" s="1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A64" i="3" s="1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C11" i="5" s="1" a="1"/>
  <c r="C11" i="5" s="1"/>
  <c r="D9" i="3"/>
  <c r="C10" i="5" s="1" a="1"/>
  <c r="C10" i="5" s="1"/>
  <c r="D8" i="3"/>
  <c r="C9" i="5" s="1" a="1"/>
  <c r="C9" i="5" s="1"/>
  <c r="D7" i="3"/>
  <c r="C8" i="5" s="1" a="1"/>
  <c r="C8" i="5" s="1"/>
  <c r="D6" i="3"/>
  <c r="C7" i="5" s="1" a="1"/>
  <c r="C7" i="5" s="1"/>
  <c r="D5" i="3"/>
  <c r="C6" i="5" s="1" a="1"/>
  <c r="C6" i="5" s="1"/>
  <c r="D4" i="3"/>
  <c r="C5" i="5" s="1" a="1"/>
  <c r="C5" i="5" s="1"/>
  <c r="D3" i="3"/>
  <c r="C4" i="5" s="1" a="1"/>
  <c r="C4" i="5" s="1"/>
  <c r="D2" i="3"/>
  <c r="C3" i="5" s="1" a="1"/>
  <c r="C3" i="5" s="1"/>
  <c r="D1" i="3"/>
  <c r="C2" i="5" s="1" a="1"/>
  <c r="C2" i="5" s="1"/>
  <c r="F9" i="5" a="1"/>
  <c r="F11" i="5" a="1"/>
  <c r="F4" i="5" a="1"/>
  <c r="F5" i="5" a="1"/>
  <c r="F6" i="5" a="1"/>
  <c r="F3" i="5" a="1"/>
  <c r="F7" i="5" a="1"/>
  <c r="F8" i="5" a="1"/>
  <c r="F2" i="5" a="1"/>
  <c r="F10" i="5" a="1"/>
  <c r="F9" i="5" l="1"/>
  <c r="F11" i="5"/>
  <c r="D11" i="5" s="1"/>
  <c r="B12" i="5" a="1"/>
  <c r="B12" i="5" s="1"/>
  <c r="E12" i="5" a="1"/>
  <c r="E12" i="5" s="1"/>
  <c r="C12" i="5" a="1"/>
  <c r="C12" i="5" s="1"/>
  <c r="A13" i="5"/>
  <c r="D9" i="5"/>
  <c r="F2" i="5"/>
  <c r="F8" i="5"/>
  <c r="D8" i="5" s="1"/>
  <c r="F7" i="5"/>
  <c r="D7" i="5" s="1"/>
  <c r="F3" i="5"/>
  <c r="D3" i="5" s="1"/>
  <c r="F6" i="5"/>
  <c r="D6" i="5" s="1"/>
  <c r="F5" i="5"/>
  <c r="D5" i="5" s="1"/>
  <c r="F4" i="5"/>
  <c r="D4" i="5" s="1"/>
  <c r="D2" i="5"/>
  <c r="F10" i="5"/>
  <c r="D10" i="5" s="1"/>
  <c r="A2" i="3"/>
  <c r="A73" i="3"/>
  <c r="A100" i="3"/>
  <c r="A137" i="3"/>
  <c r="A65" i="3"/>
  <c r="A92" i="3"/>
  <c r="A107" i="3"/>
  <c r="A129" i="3"/>
  <c r="A152" i="3"/>
  <c r="A160" i="3"/>
  <c r="A81" i="3"/>
  <c r="A144" i="3"/>
  <c r="A66" i="3"/>
  <c r="A70" i="3"/>
  <c r="A74" i="3"/>
  <c r="A78" i="3"/>
  <c r="A82" i="3"/>
  <c r="A86" i="3"/>
  <c r="A93" i="3"/>
  <c r="A97" i="3"/>
  <c r="A101" i="3"/>
  <c r="A104" i="3"/>
  <c r="A108" i="3"/>
  <c r="A111" i="3"/>
  <c r="A114" i="3"/>
  <c r="A118" i="3"/>
  <c r="A122" i="3"/>
  <c r="A126" i="3"/>
  <c r="A130" i="3"/>
  <c r="A134" i="3"/>
  <c r="A138" i="3"/>
  <c r="A142" i="3"/>
  <c r="A145" i="3"/>
  <c r="A149" i="3"/>
  <c r="A153" i="3"/>
  <c r="A157" i="3"/>
  <c r="A161" i="3"/>
  <c r="A165" i="3"/>
  <c r="A85" i="3"/>
  <c r="A103" i="3"/>
  <c r="A125" i="3"/>
  <c r="A148" i="3"/>
  <c r="A164" i="3"/>
  <c r="A89" i="3"/>
  <c r="A117" i="3"/>
  <c r="A141" i="3"/>
  <c r="A67" i="3"/>
  <c r="A71" i="3"/>
  <c r="A75" i="3"/>
  <c r="A79" i="3"/>
  <c r="A83" i="3"/>
  <c r="A87" i="3"/>
  <c r="A90" i="3"/>
  <c r="A94" i="3"/>
  <c r="A98" i="3"/>
  <c r="A105" i="3"/>
  <c r="A109" i="3"/>
  <c r="A112" i="3"/>
  <c r="A115" i="3"/>
  <c r="A119" i="3"/>
  <c r="A123" i="3"/>
  <c r="A127" i="3"/>
  <c r="A131" i="3"/>
  <c r="A135" i="3"/>
  <c r="A139" i="3"/>
  <c r="A146" i="3"/>
  <c r="A150" i="3"/>
  <c r="A154" i="3"/>
  <c r="A158" i="3"/>
  <c r="A162" i="3"/>
  <c r="A69" i="3"/>
  <c r="A96" i="3"/>
  <c r="A133" i="3"/>
  <c r="A156" i="3"/>
  <c r="A77" i="3"/>
  <c r="A121" i="3"/>
  <c r="A68" i="3"/>
  <c r="A72" i="3"/>
  <c r="A76" i="3"/>
  <c r="A80" i="3"/>
  <c r="A84" i="3"/>
  <c r="A88" i="3"/>
  <c r="A91" i="3"/>
  <c r="A95" i="3"/>
  <c r="A99" i="3"/>
  <c r="A102" i="3"/>
  <c r="A106" i="3"/>
  <c r="A110" i="3"/>
  <c r="A113" i="3"/>
  <c r="A116" i="3"/>
  <c r="A120" i="3"/>
  <c r="A124" i="3"/>
  <c r="A128" i="3"/>
  <c r="A132" i="3"/>
  <c r="A136" i="3"/>
  <c r="A140" i="3"/>
  <c r="A143" i="3"/>
  <c r="A147" i="3"/>
  <c r="A151" i="3"/>
  <c r="A155" i="3"/>
  <c r="A159" i="3"/>
  <c r="A163" i="3"/>
  <c r="A166" i="3"/>
  <c r="A6" i="3"/>
  <c r="A3" i="3"/>
  <c r="A19" i="3"/>
  <c r="A12" i="3"/>
  <c r="A5" i="3"/>
  <c r="A13" i="3"/>
  <c r="A21" i="3"/>
  <c r="A29" i="3"/>
  <c r="A37" i="3"/>
  <c r="A41" i="3"/>
  <c r="A49" i="3"/>
  <c r="A52" i="3"/>
  <c r="A60" i="3"/>
  <c r="A26" i="3"/>
  <c r="A34" i="3"/>
  <c r="A42" i="3"/>
  <c r="A50" i="3"/>
  <c r="A57" i="3"/>
  <c r="A61" i="3"/>
  <c r="A30" i="3"/>
  <c r="A38" i="3"/>
  <c r="A46" i="3"/>
  <c r="A53" i="3"/>
  <c r="A10" i="3"/>
  <c r="A11" i="3"/>
  <c r="A27" i="3"/>
  <c r="A31" i="3"/>
  <c r="A35" i="3"/>
  <c r="A39" i="3"/>
  <c r="A43" i="3"/>
  <c r="A47" i="3"/>
  <c r="A51" i="3"/>
  <c r="A54" i="3"/>
  <c r="A62" i="3"/>
  <c r="A18" i="3"/>
  <c r="A23" i="3"/>
  <c r="A4" i="3"/>
  <c r="A20" i="3"/>
  <c r="A32" i="3"/>
  <c r="A40" i="3"/>
  <c r="A48" i="3"/>
  <c r="A55" i="3"/>
  <c r="A22" i="3"/>
  <c r="A15" i="3"/>
  <c r="A8" i="3"/>
  <c r="A16" i="3"/>
  <c r="A24" i="3"/>
  <c r="A28" i="3"/>
  <c r="A36" i="3"/>
  <c r="A44" i="3"/>
  <c r="A59" i="3"/>
  <c r="A63" i="3"/>
  <c r="A14" i="3"/>
  <c r="A7" i="3"/>
  <c r="A9" i="3"/>
  <c r="A17" i="3"/>
  <c r="A25" i="3"/>
  <c r="A33" i="3"/>
  <c r="A45" i="3"/>
  <c r="A56" i="3"/>
  <c r="A58" i="3"/>
  <c r="A1" i="3"/>
  <c r="K217" i="3"/>
  <c r="K216" i="3"/>
  <c r="K218" i="3"/>
  <c r="K219" i="3"/>
  <c r="K2" i="3"/>
  <c r="K4" i="3"/>
  <c r="K3" i="3"/>
  <c r="K215" i="3"/>
  <c r="K207" i="3"/>
  <c r="K200" i="3"/>
  <c r="K193" i="3"/>
  <c r="K186" i="3"/>
  <c r="K178" i="3"/>
  <c r="K170" i="3"/>
  <c r="K163" i="3"/>
  <c r="K155" i="3"/>
  <c r="K147" i="3"/>
  <c r="K140" i="3"/>
  <c r="K132" i="3"/>
  <c r="K124" i="3"/>
  <c r="K116" i="3"/>
  <c r="K110" i="3"/>
  <c r="K102" i="3"/>
  <c r="K95" i="3"/>
  <c r="K88" i="3"/>
  <c r="K80" i="3"/>
  <c r="K72" i="3"/>
  <c r="K64" i="3"/>
  <c r="K56" i="3"/>
  <c r="K49" i="3"/>
  <c r="K41" i="3"/>
  <c r="K33" i="3"/>
  <c r="K25" i="3"/>
  <c r="K17" i="3"/>
  <c r="K9" i="3"/>
  <c r="K92" i="3"/>
  <c r="K77" i="3"/>
  <c r="K69" i="3"/>
  <c r="K53" i="3"/>
  <c r="K30" i="3"/>
  <c r="K14" i="3"/>
  <c r="K203" i="3"/>
  <c r="K190" i="3"/>
  <c r="K182" i="3"/>
  <c r="K174" i="3"/>
  <c r="K166" i="3"/>
  <c r="K159" i="3"/>
  <c r="K151" i="3"/>
  <c r="K143" i="3"/>
  <c r="K136" i="3"/>
  <c r="K128" i="3"/>
  <c r="K120" i="3"/>
  <c r="K113" i="3"/>
  <c r="K106" i="3"/>
  <c r="K99" i="3"/>
  <c r="K91" i="3"/>
  <c r="K84" i="3"/>
  <c r="K76" i="3"/>
  <c r="K68" i="3"/>
  <c r="K60" i="3"/>
  <c r="K52" i="3"/>
  <c r="K45" i="3"/>
  <c r="K37" i="3"/>
  <c r="K29" i="3"/>
  <c r="K21" i="3"/>
  <c r="K13" i="3"/>
  <c r="K5" i="3"/>
  <c r="K202" i="3"/>
  <c r="K196" i="3"/>
  <c r="K189" i="3"/>
  <c r="K181" i="3"/>
  <c r="K173" i="3"/>
  <c r="K150" i="3"/>
  <c r="K135" i="3"/>
  <c r="K127" i="3"/>
  <c r="K119" i="3"/>
  <c r="K112" i="3"/>
  <c r="K98" i="3"/>
  <c r="K90" i="3"/>
  <c r="K83" i="3"/>
  <c r="K67" i="3"/>
  <c r="K36" i="3"/>
  <c r="K28" i="3"/>
  <c r="K12" i="3"/>
  <c r="K201" i="3"/>
  <c r="K188" i="3"/>
  <c r="K172" i="3"/>
  <c r="K157" i="3"/>
  <c r="K142" i="3"/>
  <c r="K214" i="3"/>
  <c r="K206" i="3"/>
  <c r="K199" i="3"/>
  <c r="K192" i="3"/>
  <c r="K185" i="3"/>
  <c r="K177" i="3"/>
  <c r="K169" i="3"/>
  <c r="K162" i="3"/>
  <c r="K154" i="3"/>
  <c r="K146" i="3"/>
  <c r="K139" i="3"/>
  <c r="K131" i="3"/>
  <c r="K123" i="3"/>
  <c r="K115" i="3"/>
  <c r="K109" i="3"/>
  <c r="K94" i="3"/>
  <c r="K87" i="3"/>
  <c r="K79" i="3"/>
  <c r="K71" i="3"/>
  <c r="K63" i="3"/>
  <c r="K55" i="3"/>
  <c r="K48" i="3"/>
  <c r="K40" i="3"/>
  <c r="K32" i="3"/>
  <c r="K24" i="3"/>
  <c r="K16" i="3"/>
  <c r="K8" i="3"/>
  <c r="K205" i="3"/>
  <c r="K198" i="3"/>
  <c r="K184" i="3"/>
  <c r="K176" i="3"/>
  <c r="K168" i="3"/>
  <c r="K161" i="3"/>
  <c r="K153" i="3"/>
  <c r="K145" i="3"/>
  <c r="K138" i="3"/>
  <c r="K130" i="3"/>
  <c r="K122" i="3"/>
  <c r="K114" i="3"/>
  <c r="K108" i="3"/>
  <c r="K101" i="3"/>
  <c r="K93" i="3"/>
  <c r="K86" i="3"/>
  <c r="K78" i="3"/>
  <c r="K70" i="3"/>
  <c r="K62" i="3"/>
  <c r="K54" i="3"/>
  <c r="K47" i="3"/>
  <c r="K39" i="3"/>
  <c r="K31" i="3"/>
  <c r="K23" i="3"/>
  <c r="K15" i="3"/>
  <c r="K7" i="3"/>
  <c r="K204" i="3"/>
  <c r="K191" i="3"/>
  <c r="K183" i="3"/>
  <c r="K175" i="3"/>
  <c r="K167" i="3"/>
  <c r="K160" i="3"/>
  <c r="K152" i="3"/>
  <c r="K144" i="3"/>
  <c r="K137" i="3"/>
  <c r="K129" i="3"/>
  <c r="K121" i="3"/>
  <c r="K107" i="3"/>
  <c r="K100" i="3"/>
  <c r="K85" i="3"/>
  <c r="K61" i="3"/>
  <c r="K46" i="3"/>
  <c r="K38" i="3"/>
  <c r="K22" i="3"/>
  <c r="K6" i="3"/>
  <c r="K197" i="3"/>
  <c r="K213" i="3"/>
  <c r="K212" i="3"/>
  <c r="K211" i="3"/>
  <c r="K210" i="3"/>
  <c r="K158" i="3"/>
  <c r="K105" i="3"/>
  <c r="K75" i="3"/>
  <c r="K59" i="3"/>
  <c r="K44" i="3"/>
  <c r="K20" i="3"/>
  <c r="K195" i="3"/>
  <c r="K180" i="3"/>
  <c r="K165" i="3"/>
  <c r="K149" i="3"/>
  <c r="K134" i="3"/>
  <c r="K209" i="3"/>
  <c r="K208" i="3"/>
  <c r="K141" i="3"/>
  <c r="K104" i="3"/>
  <c r="K74" i="3"/>
  <c r="K43" i="3"/>
  <c r="K11" i="3"/>
  <c r="K73" i="3"/>
  <c r="K10" i="3"/>
  <c r="K187" i="3"/>
  <c r="K97" i="3"/>
  <c r="K35" i="3"/>
  <c r="K118" i="3"/>
  <c r="K27" i="3"/>
  <c r="K18" i="3"/>
  <c r="K194" i="3"/>
  <c r="K133" i="3"/>
  <c r="K103" i="3"/>
  <c r="K42" i="3"/>
  <c r="K126" i="3"/>
  <c r="K66" i="3"/>
  <c r="K171" i="3"/>
  <c r="K58" i="3"/>
  <c r="K81" i="3"/>
  <c r="K179" i="3"/>
  <c r="K125" i="3"/>
  <c r="K96" i="3"/>
  <c r="K65" i="3"/>
  <c r="K34" i="3"/>
  <c r="K19" i="3"/>
  <c r="K164" i="3"/>
  <c r="K117" i="3"/>
  <c r="K89" i="3"/>
  <c r="K57" i="3"/>
  <c r="K26" i="3"/>
  <c r="K111" i="3"/>
  <c r="K51" i="3"/>
  <c r="K156" i="3"/>
  <c r="K82" i="3"/>
  <c r="K148" i="3"/>
  <c r="K50" i="3"/>
  <c r="F12" i="5" a="1"/>
  <c r="F12" i="5" l="1"/>
  <c r="A14" i="5"/>
  <c r="E13" i="5" a="1"/>
  <c r="E13" i="5" s="1"/>
  <c r="C13" i="5" a="1"/>
  <c r="C13" i="5" s="1"/>
  <c r="B13" i="5" a="1"/>
  <c r="B13" i="5" s="1"/>
  <c r="D12" i="5"/>
  <c r="F13" i="5" a="1"/>
  <c r="F13" i="5" l="1"/>
  <c r="D13" i="5"/>
  <c r="A15" i="5"/>
  <c r="E14" i="5" a="1"/>
  <c r="E14" i="5" s="1"/>
  <c r="C14" i="5" a="1"/>
  <c r="C14" i="5" s="1"/>
  <c r="B14" i="5" a="1"/>
  <c r="B14" i="5" s="1"/>
  <c r="F14" i="5" a="1"/>
  <c r="F14" i="5" l="1"/>
  <c r="D14" i="5"/>
  <c r="A16" i="5"/>
  <c r="C15" i="5" a="1"/>
  <c r="C15" i="5" s="1"/>
  <c r="E15" i="5" a="1"/>
  <c r="E15" i="5" s="1"/>
  <c r="B15" i="5" a="1"/>
  <c r="B15" i="5" s="1"/>
  <c r="F15" i="5" a="1"/>
  <c r="F15" i="5" l="1"/>
  <c r="D15" i="5" s="1"/>
  <c r="E16" i="5" a="1"/>
  <c r="E16" i="5" s="1"/>
  <c r="C16" i="5" a="1"/>
  <c r="C16" i="5" s="1"/>
  <c r="B16" i="5" a="1"/>
  <c r="B16" i="5" s="1"/>
  <c r="A17" i="5"/>
  <c r="F16" i="5" a="1"/>
  <c r="F16" i="5" l="1"/>
  <c r="D16" i="5" s="1"/>
  <c r="A18" i="5"/>
  <c r="C17" i="5" a="1"/>
  <c r="C17" i="5" s="1"/>
  <c r="E17" i="5" a="1"/>
  <c r="E17" i="5" s="1"/>
  <c r="B17" i="5" a="1"/>
  <c r="B17" i="5" s="1"/>
  <c r="F17" i="5" a="1"/>
  <c r="F17" i="5" l="1"/>
  <c r="D17" i="5"/>
  <c r="E18" i="5" a="1"/>
  <c r="E18" i="5" s="1"/>
  <c r="C18" i="5" a="1"/>
  <c r="C18" i="5" s="1"/>
  <c r="A19" i="5"/>
  <c r="B18" i="5" a="1"/>
  <c r="B18" i="5" s="1"/>
  <c r="F18" i="5" a="1"/>
  <c r="F18" i="5" l="1"/>
  <c r="D18" i="5"/>
  <c r="A20" i="5"/>
  <c r="E19" i="5" a="1"/>
  <c r="E19" i="5" s="1"/>
  <c r="C19" i="5" a="1"/>
  <c r="C19" i="5" s="1"/>
  <c r="B19" i="5" a="1"/>
  <c r="B19" i="5" s="1"/>
  <c r="F19" i="5" a="1"/>
  <c r="F19" i="5" l="1"/>
  <c r="D19" i="5" s="1"/>
  <c r="C20" i="5" a="1"/>
  <c r="C20" i="5" s="1"/>
  <c r="B20" i="5" a="1"/>
  <c r="B20" i="5" s="1"/>
  <c r="A21" i="5"/>
  <c r="E20" i="5" a="1"/>
  <c r="E20" i="5" s="1"/>
  <c r="F20" i="5" a="1"/>
  <c r="F20" i="5" l="1"/>
  <c r="D20" i="5" s="1"/>
  <c r="A22" i="5"/>
  <c r="E21" i="5" a="1"/>
  <c r="E21" i="5" s="1"/>
  <c r="B21" i="5" a="1"/>
  <c r="B21" i="5" s="1"/>
  <c r="C21" i="5" a="1"/>
  <c r="C21" i="5" s="1"/>
  <c r="F21" i="5" a="1"/>
  <c r="F21" i="5" l="1"/>
  <c r="D21" i="5"/>
  <c r="A23" i="5"/>
  <c r="C22" i="5" a="1"/>
  <c r="C22" i="5" s="1"/>
  <c r="B22" i="5" a="1"/>
  <c r="B22" i="5" s="1"/>
  <c r="E22" i="5" a="1"/>
  <c r="E22" i="5" s="1"/>
  <c r="F22" i="5" a="1"/>
  <c r="F22" i="5" l="1"/>
  <c r="D22" i="5" s="1"/>
  <c r="B23" i="5" a="1"/>
  <c r="B23" i="5" s="1"/>
  <c r="E23" i="5" a="1"/>
  <c r="E23" i="5" s="1"/>
  <c r="A24" i="5"/>
  <c r="C23" i="5" a="1"/>
  <c r="C23" i="5" s="1"/>
  <c r="F23" i="5" a="1"/>
  <c r="F23" i="5" l="1"/>
  <c r="D23" i="5" s="1"/>
  <c r="A25" i="5"/>
  <c r="C24" i="5" a="1"/>
  <c r="C24" i="5" s="1"/>
  <c r="E24" i="5" a="1"/>
  <c r="E24" i="5" s="1"/>
  <c r="B24" i="5" a="1"/>
  <c r="B24" i="5" s="1"/>
  <c r="F24" i="5" a="1"/>
  <c r="F24" i="5" l="1"/>
  <c r="B25" i="5" a="1"/>
  <c r="B25" i="5" s="1"/>
  <c r="E25" i="5" a="1"/>
  <c r="E25" i="5" s="1"/>
  <c r="C25" i="5" a="1"/>
  <c r="C25" i="5" s="1"/>
  <c r="A26" i="5"/>
  <c r="D24" i="5"/>
  <c r="F25" i="5" a="1"/>
  <c r="F25" i="5" l="1"/>
  <c r="D25" i="5" s="1"/>
  <c r="E26" i="5" a="1"/>
  <c r="E26" i="5" s="1"/>
  <c r="B26" i="5" a="1"/>
  <c r="B26" i="5" s="1"/>
  <c r="C26" i="5" a="1"/>
  <c r="C26" i="5" s="1"/>
  <c r="A27" i="5"/>
  <c r="F26" i="5" a="1"/>
  <c r="F26" i="5" l="1"/>
  <c r="D26" i="5" s="1"/>
  <c r="A28" i="5"/>
  <c r="C27" i="5" a="1"/>
  <c r="C27" i="5" s="1"/>
  <c r="E27" i="5" a="1"/>
  <c r="E27" i="5" s="1"/>
  <c r="B27" i="5" a="1"/>
  <c r="B27" i="5" s="1"/>
  <c r="F27" i="5" a="1"/>
  <c r="F27" i="5" l="1"/>
  <c r="D27" i="5" s="1"/>
  <c r="B28" i="5" a="1"/>
  <c r="B28" i="5" s="1"/>
  <c r="A29" i="5"/>
  <c r="E28" i="5" a="1"/>
  <c r="E28" i="5" s="1"/>
  <c r="C28" i="5" a="1"/>
  <c r="C28" i="5" s="1"/>
  <c r="F28" i="5" a="1"/>
  <c r="F28" i="5" l="1"/>
  <c r="D28" i="5"/>
  <c r="B29" i="5" a="1"/>
  <c r="B29" i="5" s="1"/>
  <c r="A30" i="5"/>
  <c r="E29" i="5" a="1"/>
  <c r="E29" i="5" s="1"/>
  <c r="C29" i="5" a="1"/>
  <c r="C29" i="5" s="1"/>
  <c r="F29" i="5" a="1"/>
  <c r="F29" i="5" l="1"/>
  <c r="D29" i="5" s="1"/>
  <c r="B30" i="5" a="1"/>
  <c r="B30" i="5" s="1"/>
  <c r="C30" i="5" a="1"/>
  <c r="C30" i="5" s="1"/>
  <c r="A31" i="5"/>
  <c r="E30" i="5" a="1"/>
  <c r="E30" i="5" s="1"/>
  <c r="F30" i="5" a="1"/>
  <c r="F30" i="5" l="1"/>
  <c r="D30" i="5" s="1"/>
  <c r="C31" i="5" a="1"/>
  <c r="C31" i="5" s="1"/>
  <c r="B31" i="5" a="1"/>
  <c r="B31" i="5" s="1"/>
  <c r="A32" i="5"/>
  <c r="E31" i="5" a="1"/>
  <c r="E31" i="5" s="1"/>
  <c r="F31" i="5" a="1"/>
  <c r="F31" i="5" l="1"/>
  <c r="D31" i="5" s="1"/>
  <c r="E32" i="5" a="1"/>
  <c r="E32" i="5" s="1"/>
  <c r="C32" i="5" a="1"/>
  <c r="C32" i="5" s="1"/>
  <c r="B32" i="5" a="1"/>
  <c r="B32" i="5" s="1"/>
  <c r="A33" i="5"/>
  <c r="F32" i="5" a="1"/>
  <c r="F32" i="5" l="1"/>
  <c r="D32" i="5" s="1"/>
  <c r="C33" i="5" a="1"/>
  <c r="C33" i="5" s="1"/>
  <c r="E33" i="5" a="1"/>
  <c r="E33" i="5" s="1"/>
  <c r="B33" i="5" a="1"/>
  <c r="B33" i="5" s="1"/>
  <c r="A34" i="5"/>
  <c r="F33" i="5" a="1"/>
  <c r="F33" i="5" l="1"/>
  <c r="D33" i="5" s="1"/>
  <c r="C34" i="5" a="1"/>
  <c r="C34" i="5" s="1"/>
  <c r="E34" i="5" a="1"/>
  <c r="E34" i="5" s="1"/>
  <c r="A35" i="5"/>
  <c r="B34" i="5" a="1"/>
  <c r="B34" i="5" s="1"/>
  <c r="F34" i="5" a="1"/>
  <c r="F34" i="5" l="1"/>
  <c r="D34" i="5"/>
  <c r="A36" i="5"/>
  <c r="C35" i="5" a="1"/>
  <c r="C35" i="5" s="1"/>
  <c r="B35" i="5" a="1"/>
  <c r="B35" i="5" s="1"/>
  <c r="E35" i="5" a="1"/>
  <c r="E35" i="5" s="1"/>
  <c r="F35" i="5" a="1"/>
  <c r="F35" i="5" l="1"/>
  <c r="B36" i="5" a="1"/>
  <c r="B36" i="5" s="1"/>
  <c r="A37" i="5"/>
  <c r="E36" i="5" a="1"/>
  <c r="E36" i="5" s="1"/>
  <c r="C36" i="5" a="1"/>
  <c r="C36" i="5" s="1"/>
  <c r="D35" i="5"/>
  <c r="F36" i="5" a="1"/>
  <c r="F36" i="5" l="1"/>
  <c r="D36" i="5" s="1"/>
  <c r="C37" i="5" a="1"/>
  <c r="C37" i="5" s="1"/>
  <c r="A38" i="5"/>
  <c r="B37" i="5" a="1"/>
  <c r="B37" i="5" s="1"/>
  <c r="E37" i="5" a="1"/>
  <c r="E37" i="5" s="1"/>
  <c r="F37" i="5" a="1"/>
  <c r="F37" i="5" l="1"/>
  <c r="C38" i="5" a="1"/>
  <c r="C38" i="5" s="1"/>
  <c r="B38" i="5" a="1"/>
  <c r="B38" i="5" s="1"/>
  <c r="A39" i="5"/>
  <c r="E38" i="5" a="1"/>
  <c r="E38" i="5" s="1"/>
  <c r="D37" i="5"/>
  <c r="F38" i="5" a="1"/>
  <c r="F38" i="5" l="1"/>
  <c r="D38" i="5" s="1"/>
  <c r="B39" i="5" a="1"/>
  <c r="B39" i="5" s="1"/>
  <c r="A40" i="5"/>
  <c r="E39" i="5" a="1"/>
  <c r="E39" i="5" s="1"/>
  <c r="C39" i="5" a="1"/>
  <c r="C39" i="5" s="1"/>
  <c r="F39" i="5" a="1"/>
  <c r="F39" i="5" l="1"/>
  <c r="A41" i="5"/>
  <c r="B40" i="5" a="1"/>
  <c r="B40" i="5" s="1"/>
  <c r="E40" i="5" a="1"/>
  <c r="E40" i="5" s="1"/>
  <c r="C40" i="5" a="1"/>
  <c r="C40" i="5" s="1"/>
  <c r="D39" i="5"/>
  <c r="F40" i="5" a="1"/>
  <c r="F40" i="5" l="1"/>
  <c r="D40" i="5"/>
  <c r="C41" i="5" a="1"/>
  <c r="C41" i="5" s="1"/>
  <c r="A42" i="5"/>
  <c r="E41" i="5" a="1"/>
  <c r="E41" i="5" s="1"/>
  <c r="B41" i="5" a="1"/>
  <c r="B41" i="5" s="1"/>
  <c r="F41" i="5" a="1"/>
  <c r="F41" i="5" l="1"/>
  <c r="D41" i="5"/>
  <c r="C42" i="5" a="1"/>
  <c r="C42" i="5" s="1"/>
  <c r="A43" i="5"/>
  <c r="E42" i="5" a="1"/>
  <c r="E42" i="5" s="1"/>
  <c r="B42" i="5" a="1"/>
  <c r="B42" i="5" s="1"/>
  <c r="F42" i="5" a="1"/>
  <c r="F42" i="5" l="1"/>
  <c r="D42" i="5" s="1"/>
  <c r="B43" i="5" a="1"/>
  <c r="B43" i="5" s="1"/>
  <c r="A44" i="5"/>
  <c r="E43" i="5" a="1"/>
  <c r="E43" i="5" s="1"/>
  <c r="C43" i="5" a="1"/>
  <c r="C43" i="5" s="1"/>
  <c r="F43" i="5" a="1"/>
  <c r="F43" i="5" l="1"/>
  <c r="D43" i="5" s="1"/>
  <c r="C44" i="5" a="1"/>
  <c r="C44" i="5" s="1"/>
  <c r="A45" i="5"/>
  <c r="B44" i="5" a="1"/>
  <c r="B44" i="5" s="1"/>
  <c r="E44" i="5" a="1"/>
  <c r="E44" i="5" s="1"/>
  <c r="F44" i="5" a="1"/>
  <c r="F44" i="5" l="1"/>
  <c r="D44" i="5" s="1"/>
  <c r="B45" i="5" a="1"/>
  <c r="B45" i="5" s="1"/>
  <c r="C45" i="5" a="1"/>
  <c r="C45" i="5" s="1"/>
  <c r="A46" i="5"/>
  <c r="E45" i="5" a="1"/>
  <c r="E45" i="5" s="1"/>
  <c r="F45" i="5" a="1"/>
  <c r="F45" i="5" l="1"/>
  <c r="D45" i="5" s="1"/>
  <c r="E46" i="5" a="1"/>
  <c r="E46" i="5" s="1"/>
  <c r="C46" i="5" a="1"/>
  <c r="C46" i="5" s="1"/>
  <c r="B46" i="5" a="1"/>
  <c r="B46" i="5" s="1"/>
  <c r="A47" i="5"/>
  <c r="F46" i="5" a="1"/>
  <c r="F46" i="5" l="1"/>
  <c r="D46" i="5" s="1"/>
  <c r="A48" i="5"/>
  <c r="C47" i="5" a="1"/>
  <c r="C47" i="5" s="1"/>
  <c r="B47" i="5" a="1"/>
  <c r="B47" i="5" s="1"/>
  <c r="E47" i="5" a="1"/>
  <c r="E47" i="5" s="1"/>
  <c r="F47" i="5" a="1"/>
  <c r="F47" i="5" l="1"/>
  <c r="D47" i="5"/>
  <c r="C48" i="5" a="1"/>
  <c r="C48" i="5" s="1"/>
  <c r="A49" i="5"/>
  <c r="B48" i="5" a="1"/>
  <c r="B48" i="5" s="1"/>
  <c r="E48" i="5" a="1"/>
  <c r="E48" i="5" s="1"/>
  <c r="F48" i="5" a="1"/>
  <c r="F48" i="5" l="1"/>
  <c r="D48" i="5" s="1"/>
  <c r="E49" i="5" a="1"/>
  <c r="E49" i="5" s="1"/>
  <c r="A50" i="5"/>
  <c r="C49" i="5" a="1"/>
  <c r="C49" i="5" s="1"/>
  <c r="B49" i="5" a="1"/>
  <c r="B49" i="5" s="1"/>
  <c r="F49" i="5" a="1"/>
  <c r="F49" i="5" l="1"/>
  <c r="D49" i="5" s="1"/>
  <c r="E50" i="5" a="1"/>
  <c r="E50" i="5" s="1"/>
  <c r="A51" i="5"/>
  <c r="C50" i="5" a="1"/>
  <c r="C50" i="5" s="1"/>
  <c r="B50" i="5" a="1"/>
  <c r="B50" i="5" s="1"/>
  <c r="F50" i="5" a="1"/>
  <c r="F50" i="5" l="1"/>
  <c r="D50" i="5" s="1"/>
  <c r="C51" i="5" a="1"/>
  <c r="C51" i="5" s="1"/>
  <c r="E51" i="5" a="1"/>
  <c r="E51" i="5" s="1"/>
  <c r="A52" i="5"/>
  <c r="B51" i="5" a="1"/>
  <c r="B51" i="5" s="1"/>
  <c r="F51" i="5" a="1"/>
  <c r="F51" i="5" l="1"/>
  <c r="D51" i="5"/>
  <c r="C52" i="5" a="1"/>
  <c r="C52" i="5" s="1"/>
  <c r="E52" i="5" a="1"/>
  <c r="E52" i="5" s="1"/>
  <c r="B52" i="5" a="1"/>
  <c r="B52" i="5" s="1"/>
  <c r="A53" i="5"/>
  <c r="F52" i="5" a="1"/>
  <c r="F52" i="5" l="1"/>
  <c r="D52" i="5" s="1"/>
  <c r="B53" i="5" a="1"/>
  <c r="B53" i="5" s="1"/>
  <c r="E53" i="5" a="1"/>
  <c r="E53" i="5" s="1"/>
  <c r="A54" i="5"/>
  <c r="C53" i="5" a="1"/>
  <c r="C53" i="5" s="1"/>
  <c r="F53" i="5" a="1"/>
  <c r="F53" i="5" l="1"/>
  <c r="D53" i="5" s="1"/>
  <c r="E54" i="5" a="1"/>
  <c r="E54" i="5" s="1"/>
  <c r="B54" i="5" a="1"/>
  <c r="B54" i="5" s="1"/>
  <c r="A55" i="5"/>
  <c r="C54" i="5" a="1"/>
  <c r="C54" i="5" s="1"/>
  <c r="F54" i="5" a="1"/>
  <c r="F54" i="5" l="1"/>
  <c r="D54" i="5" s="1"/>
  <c r="C55" i="5" a="1"/>
  <c r="C55" i="5" s="1"/>
  <c r="E55" i="5" a="1"/>
  <c r="E55" i="5" s="1"/>
  <c r="B55" i="5" a="1"/>
  <c r="B55" i="5" s="1"/>
  <c r="A56" i="5"/>
  <c r="F55" i="5" a="1"/>
  <c r="F55" i="5" l="1"/>
  <c r="D55" i="5"/>
  <c r="C56" i="5" a="1"/>
  <c r="C56" i="5" s="1"/>
  <c r="A57" i="5"/>
  <c r="B56" i="5" a="1"/>
  <c r="B56" i="5" s="1"/>
  <c r="E56" i="5" a="1"/>
  <c r="E56" i="5" s="1"/>
  <c r="F56" i="5" a="1"/>
  <c r="F56" i="5" l="1"/>
  <c r="D56" i="5"/>
  <c r="E57" i="5" a="1"/>
  <c r="E57" i="5" s="1"/>
  <c r="A58" i="5"/>
  <c r="C57" i="5" a="1"/>
  <c r="C57" i="5" s="1"/>
  <c r="B57" i="5" a="1"/>
  <c r="B57" i="5" s="1"/>
  <c r="F57" i="5" a="1"/>
  <c r="F57" i="5" l="1"/>
  <c r="D57" i="5" s="1"/>
  <c r="E58" i="5" a="1"/>
  <c r="E58" i="5" s="1"/>
  <c r="C58" i="5" a="1"/>
  <c r="C58" i="5" s="1"/>
  <c r="B58" i="5" a="1"/>
  <c r="B58" i="5" s="1"/>
  <c r="A59" i="5"/>
  <c r="F58" i="5" a="1"/>
  <c r="F58" i="5" l="1"/>
  <c r="E59" i="5" a="1"/>
  <c r="E59" i="5" s="1"/>
  <c r="B59" i="5" a="1"/>
  <c r="B59" i="5" s="1"/>
  <c r="C59" i="5" a="1"/>
  <c r="C59" i="5" s="1"/>
  <c r="A60" i="5"/>
  <c r="D58" i="5"/>
  <c r="F59" i="5" a="1"/>
  <c r="F59" i="5" l="1"/>
  <c r="D59" i="5"/>
  <c r="C60" i="5" a="1"/>
  <c r="C60" i="5" s="1"/>
  <c r="E60" i="5" a="1"/>
  <c r="E60" i="5" s="1"/>
  <c r="A61" i="5"/>
  <c r="B60" i="5" a="1"/>
  <c r="B60" i="5" s="1"/>
  <c r="F60" i="5" a="1"/>
  <c r="F60" i="5" l="1"/>
  <c r="B61" i="5" a="1"/>
  <c r="B61" i="5" s="1"/>
  <c r="E61" i="5" a="1"/>
  <c r="E61" i="5" s="1"/>
  <c r="A62" i="5"/>
  <c r="C61" i="5" a="1"/>
  <c r="C61" i="5" s="1"/>
  <c r="D60" i="5"/>
  <c r="F61" i="5" a="1"/>
  <c r="F61" i="5" l="1"/>
  <c r="D61" i="5" s="1"/>
  <c r="E62" i="5" a="1"/>
  <c r="E62" i="5" s="1"/>
  <c r="C62" i="5" a="1"/>
  <c r="C62" i="5" s="1"/>
  <c r="A63" i="5"/>
  <c r="B62" i="5" a="1"/>
  <c r="B62" i="5" s="1"/>
  <c r="F62" i="5" a="1"/>
  <c r="F62" i="5" l="1"/>
  <c r="D62" i="5" s="1"/>
  <c r="C63" i="5" a="1"/>
  <c r="C63" i="5" s="1"/>
  <c r="A64" i="5"/>
  <c r="B63" i="5" a="1"/>
  <c r="B63" i="5" s="1"/>
  <c r="E63" i="5" a="1"/>
  <c r="E63" i="5" s="1"/>
  <c r="F63" i="5" a="1"/>
  <c r="F63" i="5" l="1"/>
  <c r="D63" i="5" s="1"/>
  <c r="A65" i="5"/>
  <c r="B64" i="5" a="1"/>
  <c r="B64" i="5" s="1"/>
  <c r="E64" i="5" a="1"/>
  <c r="E64" i="5" s="1"/>
  <c r="C64" i="5" a="1"/>
  <c r="C64" i="5" s="1"/>
  <c r="F64" i="5" a="1"/>
  <c r="F64" i="5" l="1"/>
  <c r="D64" i="5" s="1"/>
  <c r="B65" i="5" a="1"/>
  <c r="B65" i="5" s="1"/>
  <c r="E65" i="5" a="1"/>
  <c r="E65" i="5" s="1"/>
  <c r="A66" i="5"/>
  <c r="C65" i="5" a="1"/>
  <c r="C65" i="5" s="1"/>
  <c r="F65" i="5" a="1"/>
  <c r="F65" i="5" l="1"/>
  <c r="E66" i="5" a="1"/>
  <c r="E66" i="5" s="1"/>
  <c r="C66" i="5" a="1"/>
  <c r="C66" i="5" s="1"/>
  <c r="B66" i="5" a="1"/>
  <c r="B66" i="5" s="1"/>
  <c r="A67" i="5"/>
  <c r="D65" i="5"/>
  <c r="F66" i="5" a="1"/>
  <c r="F66" i="5" l="1"/>
  <c r="D66" i="5" s="1"/>
  <c r="C67" i="5" a="1"/>
  <c r="C67" i="5" s="1"/>
  <c r="A68" i="5"/>
  <c r="B67" i="5" a="1"/>
  <c r="B67" i="5" s="1"/>
  <c r="E67" i="5" a="1"/>
  <c r="E67" i="5" s="1"/>
  <c r="F67" i="5" a="1"/>
  <c r="F67" i="5" l="1"/>
  <c r="D67" i="5" s="1"/>
  <c r="C68" i="5" a="1"/>
  <c r="C68" i="5" s="1"/>
  <c r="A69" i="5"/>
  <c r="B68" i="5" a="1"/>
  <c r="B68" i="5" s="1"/>
  <c r="E68" i="5" a="1"/>
  <c r="E68" i="5" s="1"/>
  <c r="F68" i="5" a="1"/>
  <c r="F68" i="5" l="1"/>
  <c r="D68" i="5"/>
  <c r="B69" i="5" a="1"/>
  <c r="B69" i="5" s="1"/>
  <c r="E69" i="5" a="1"/>
  <c r="E69" i="5" s="1"/>
  <c r="A70" i="5"/>
  <c r="C69" i="5" a="1"/>
  <c r="C69" i="5" s="1"/>
  <c r="F69" i="5" a="1"/>
  <c r="F69" i="5" l="1"/>
  <c r="D69" i="5"/>
  <c r="E70" i="5" a="1"/>
  <c r="E70" i="5" s="1"/>
  <c r="C70" i="5" a="1"/>
  <c r="C70" i="5" s="1"/>
  <c r="B70" i="5" a="1"/>
  <c r="B70" i="5" s="1"/>
  <c r="A71" i="5"/>
  <c r="F70" i="5" a="1"/>
  <c r="F70" i="5" l="1"/>
  <c r="C71" i="5" a="1"/>
  <c r="C71" i="5" s="1"/>
  <c r="A72" i="5"/>
  <c r="B71" i="5" a="1"/>
  <c r="B71" i="5" s="1"/>
  <c r="E71" i="5" a="1"/>
  <c r="E71" i="5" s="1"/>
  <c r="D70" i="5"/>
  <c r="F71" i="5" a="1"/>
  <c r="F71" i="5" l="1"/>
  <c r="D71" i="5" s="1"/>
  <c r="C72" i="5" a="1"/>
  <c r="C72" i="5" s="1"/>
  <c r="A73" i="5"/>
  <c r="B72" i="5" a="1"/>
  <c r="B72" i="5" s="1"/>
  <c r="E72" i="5" a="1"/>
  <c r="E72" i="5" s="1"/>
  <c r="F72" i="5" a="1"/>
  <c r="F72" i="5" l="1"/>
  <c r="D72" i="5"/>
  <c r="E73" i="5" a="1"/>
  <c r="E73" i="5" s="1"/>
  <c r="C73" i="5" a="1"/>
  <c r="C73" i="5" s="1"/>
  <c r="A74" i="5"/>
  <c r="B73" i="5" a="1"/>
  <c r="B73" i="5" s="1"/>
  <c r="F73" i="5" a="1"/>
  <c r="F73" i="5" l="1"/>
  <c r="D73" i="5" s="1"/>
  <c r="E74" i="5" a="1"/>
  <c r="E74" i="5" s="1"/>
  <c r="A75" i="5"/>
  <c r="B74" i="5" a="1"/>
  <c r="B74" i="5" s="1"/>
  <c r="C74" i="5" a="1"/>
  <c r="C74" i="5" s="1"/>
  <c r="F74" i="5" a="1"/>
  <c r="F74" i="5" l="1"/>
  <c r="D74" i="5" s="1"/>
  <c r="C75" i="5" a="1"/>
  <c r="C75" i="5" s="1"/>
  <c r="A76" i="5"/>
  <c r="B75" i="5" a="1"/>
  <c r="B75" i="5" s="1"/>
  <c r="E75" i="5" a="1"/>
  <c r="E75" i="5" s="1"/>
  <c r="F75" i="5" a="1"/>
  <c r="F75" i="5" l="1"/>
  <c r="D75" i="5"/>
  <c r="C76" i="5" a="1"/>
  <c r="C76" i="5" s="1"/>
  <c r="A77" i="5"/>
  <c r="B76" i="5" a="1"/>
  <c r="B76" i="5" s="1"/>
  <c r="E76" i="5" a="1"/>
  <c r="E76" i="5" s="1"/>
  <c r="F76" i="5" a="1"/>
  <c r="F76" i="5" l="1"/>
  <c r="D76" i="5" s="1"/>
  <c r="E77" i="5" a="1"/>
  <c r="E77" i="5" s="1"/>
  <c r="C77" i="5" a="1"/>
  <c r="C77" i="5" s="1"/>
  <c r="A78" i="5"/>
  <c r="B77" i="5" a="1"/>
  <c r="B77" i="5" s="1"/>
  <c r="F77" i="5" a="1"/>
  <c r="F77" i="5" l="1"/>
  <c r="D77" i="5" s="1"/>
  <c r="A79" i="5"/>
  <c r="B78" i="5" a="1"/>
  <c r="B78" i="5" s="1"/>
  <c r="E78" i="5" a="1"/>
  <c r="E78" i="5" s="1"/>
  <c r="C78" i="5" a="1"/>
  <c r="C78" i="5" s="1"/>
  <c r="F78" i="5" a="1"/>
  <c r="F78" i="5" l="1"/>
  <c r="D78" i="5" s="1"/>
  <c r="A80" i="5"/>
  <c r="B79" i="5" a="1"/>
  <c r="B79" i="5" s="1"/>
  <c r="C79" i="5" a="1"/>
  <c r="C79" i="5" s="1"/>
  <c r="E79" i="5" a="1"/>
  <c r="E79" i="5" s="1"/>
  <c r="F79" i="5" a="1"/>
  <c r="F79" i="5" l="1"/>
  <c r="D79" i="5" s="1"/>
  <c r="B80" i="5" a="1"/>
  <c r="B80" i="5" s="1"/>
  <c r="C80" i="5" a="1"/>
  <c r="C80" i="5" s="1"/>
  <c r="A81" i="5"/>
  <c r="E80" i="5" a="1"/>
  <c r="E80" i="5" s="1"/>
  <c r="F80" i="5" a="1"/>
  <c r="F80" i="5" l="1"/>
  <c r="D80" i="5" s="1"/>
  <c r="A82" i="5"/>
  <c r="E81" i="5" a="1"/>
  <c r="E81" i="5" s="1"/>
  <c r="B81" i="5" a="1"/>
  <c r="B81" i="5" s="1"/>
  <c r="C81" i="5" a="1"/>
  <c r="C81" i="5" s="1"/>
  <c r="F81" i="5" a="1"/>
  <c r="F81" i="5" l="1"/>
  <c r="E82" i="5" a="1"/>
  <c r="E82" i="5" s="1"/>
  <c r="C82" i="5" a="1"/>
  <c r="C82" i="5" s="1"/>
  <c r="A83" i="5"/>
  <c r="B82" i="5" a="1"/>
  <c r="B82" i="5" s="1"/>
  <c r="D81" i="5"/>
  <c r="F82" i="5" a="1"/>
  <c r="F82" i="5" l="1"/>
  <c r="D82" i="5" s="1"/>
  <c r="C83" i="5" a="1"/>
  <c r="C83" i="5" s="1"/>
  <c r="A84" i="5"/>
  <c r="B83" i="5" a="1"/>
  <c r="B83" i="5" s="1"/>
  <c r="E83" i="5" a="1"/>
  <c r="E83" i="5" s="1"/>
  <c r="F83" i="5" a="1"/>
  <c r="F83" i="5" l="1"/>
  <c r="D83" i="5"/>
  <c r="B84" i="5" a="1"/>
  <c r="B84" i="5" s="1"/>
  <c r="E84" i="5" a="1"/>
  <c r="E84" i="5" s="1"/>
  <c r="A85" i="5"/>
  <c r="C84" i="5" a="1"/>
  <c r="C84" i="5" s="1"/>
  <c r="F84" i="5" a="1"/>
  <c r="F84" i="5" l="1"/>
  <c r="D84" i="5" s="1"/>
  <c r="C85" i="5" a="1"/>
  <c r="C85" i="5" s="1"/>
  <c r="A86" i="5"/>
  <c r="E85" i="5" a="1"/>
  <c r="E85" i="5" s="1"/>
  <c r="B85" i="5" a="1"/>
  <c r="B85" i="5" s="1"/>
  <c r="F85" i="5" a="1"/>
  <c r="F85" i="5" l="1"/>
  <c r="D85" i="5"/>
  <c r="A87" i="5"/>
  <c r="B86" i="5" a="1"/>
  <c r="B86" i="5" s="1"/>
  <c r="E86" i="5" a="1"/>
  <c r="E86" i="5" s="1"/>
  <c r="C86" i="5" a="1"/>
  <c r="C86" i="5" s="1"/>
  <c r="F86" i="5" a="1"/>
  <c r="F86" i="5" l="1"/>
  <c r="D86" i="5"/>
  <c r="A88" i="5"/>
  <c r="B87" i="5" a="1"/>
  <c r="B87" i="5" s="1"/>
  <c r="C87" i="5" a="1"/>
  <c r="C87" i="5" s="1"/>
  <c r="E87" i="5" a="1"/>
  <c r="E87" i="5" s="1"/>
  <c r="F87" i="5" a="1"/>
  <c r="F87" i="5" l="1"/>
  <c r="D87" i="5" s="1"/>
  <c r="A89" i="5"/>
  <c r="B88" i="5" a="1"/>
  <c r="B88" i="5" s="1"/>
  <c r="E88" i="5" a="1"/>
  <c r="E88" i="5" s="1"/>
  <c r="C88" i="5" a="1"/>
  <c r="C88" i="5" s="1"/>
  <c r="F88" i="5" a="1"/>
  <c r="F88" i="5" l="1"/>
  <c r="C89" i="5" a="1"/>
  <c r="C89" i="5" s="1"/>
  <c r="A90" i="5"/>
  <c r="E89" i="5" a="1"/>
  <c r="E89" i="5" s="1"/>
  <c r="B89" i="5" a="1"/>
  <c r="B89" i="5" s="1"/>
  <c r="D88" i="5"/>
  <c r="F89" i="5" a="1"/>
  <c r="F89" i="5" l="1"/>
  <c r="D89" i="5" s="1"/>
  <c r="C90" i="5" a="1"/>
  <c r="C90" i="5" s="1"/>
  <c r="A91" i="5"/>
  <c r="B90" i="5" a="1"/>
  <c r="B90" i="5" s="1"/>
  <c r="E90" i="5" a="1"/>
  <c r="E90" i="5" s="1"/>
  <c r="F90" i="5" a="1"/>
  <c r="F90" i="5" l="1"/>
  <c r="D90" i="5" s="1"/>
  <c r="B91" i="5" a="1"/>
  <c r="B91" i="5" s="1"/>
  <c r="C91" i="5" a="1"/>
  <c r="C91" i="5" s="1"/>
  <c r="E91" i="5" a="1"/>
  <c r="E91" i="5" s="1"/>
  <c r="A92" i="5"/>
  <c r="F91" i="5" a="1"/>
  <c r="F91" i="5" l="1"/>
  <c r="E92" i="5" a="1"/>
  <c r="E92" i="5" s="1"/>
  <c r="A93" i="5"/>
  <c r="B92" i="5" a="1"/>
  <c r="B92" i="5" s="1"/>
  <c r="C92" i="5" a="1"/>
  <c r="C92" i="5" s="1"/>
  <c r="D91" i="5"/>
  <c r="F92" i="5" a="1"/>
  <c r="F92" i="5" l="1"/>
  <c r="D92" i="5" s="1"/>
  <c r="C93" i="5" a="1"/>
  <c r="C93" i="5" s="1"/>
  <c r="B93" i="5" a="1"/>
  <c r="B93" i="5" s="1"/>
  <c r="A94" i="5"/>
  <c r="E93" i="5" a="1"/>
  <c r="E93" i="5" s="1"/>
  <c r="F93" i="5" a="1"/>
  <c r="F93" i="5" l="1"/>
  <c r="D93" i="5" s="1"/>
  <c r="C94" i="5" a="1"/>
  <c r="C94" i="5" s="1"/>
  <c r="B94" i="5" a="1"/>
  <c r="B94" i="5" s="1"/>
  <c r="E94" i="5" a="1"/>
  <c r="E94" i="5" s="1"/>
  <c r="A95" i="5"/>
  <c r="F94" i="5" a="1"/>
  <c r="F94" i="5" l="1"/>
  <c r="D94" i="5" s="1"/>
  <c r="B95" i="5" a="1"/>
  <c r="B95" i="5" s="1"/>
  <c r="C95" i="5" a="1"/>
  <c r="C95" i="5" s="1"/>
  <c r="A96" i="5"/>
  <c r="E95" i="5" a="1"/>
  <c r="E95" i="5" s="1"/>
  <c r="F95" i="5" a="1"/>
  <c r="F95" i="5" l="1"/>
  <c r="D95" i="5" s="1"/>
  <c r="C96" i="5" a="1"/>
  <c r="C96" i="5" s="1"/>
  <c r="A97" i="5"/>
  <c r="E96" i="5" a="1"/>
  <c r="E96" i="5" s="1"/>
  <c r="B96" i="5" a="1"/>
  <c r="B96" i="5" s="1"/>
  <c r="F96" i="5" a="1"/>
  <c r="F96" i="5" l="1"/>
  <c r="D96" i="5"/>
  <c r="E97" i="5" a="1"/>
  <c r="E97" i="5" s="1"/>
  <c r="C97" i="5" a="1"/>
  <c r="C97" i="5" s="1"/>
  <c r="B97" i="5" a="1"/>
  <c r="B97" i="5" s="1"/>
  <c r="A98" i="5"/>
  <c r="F97" i="5" a="1"/>
  <c r="F97" i="5" l="1"/>
  <c r="D97" i="5"/>
  <c r="A99" i="5"/>
  <c r="E98" i="5" a="1"/>
  <c r="E98" i="5" s="1"/>
  <c r="C98" i="5" a="1"/>
  <c r="C98" i="5" s="1"/>
  <c r="B98" i="5" a="1"/>
  <c r="B98" i="5" s="1"/>
  <c r="F98" i="5" a="1"/>
  <c r="F98" i="5" l="1"/>
  <c r="D98" i="5"/>
  <c r="E99" i="5" a="1"/>
  <c r="E99" i="5" s="1"/>
  <c r="A100" i="5"/>
  <c r="B99" i="5" a="1"/>
  <c r="B99" i="5" s="1"/>
  <c r="C99" i="5" a="1"/>
  <c r="C99" i="5" s="1"/>
  <c r="F99" i="5" a="1"/>
  <c r="F99" i="5" l="1"/>
  <c r="D99" i="5" s="1"/>
  <c r="B100" i="5" a="1"/>
  <c r="B100" i="5" s="1"/>
  <c r="A101" i="5"/>
  <c r="C100" i="5" a="1"/>
  <c r="C100" i="5" s="1"/>
  <c r="E100" i="5" a="1"/>
  <c r="E100" i="5" s="1"/>
  <c r="F100" i="5" a="1"/>
  <c r="F100" i="5" l="1"/>
  <c r="D100" i="5"/>
  <c r="C101" i="5" a="1"/>
  <c r="C101" i="5" s="1"/>
  <c r="B101" i="5" a="1"/>
  <c r="B101" i="5" s="1"/>
  <c r="A102" i="5"/>
  <c r="E101" i="5" a="1"/>
  <c r="E101" i="5" s="1"/>
  <c r="F101" i="5" a="1"/>
  <c r="F101" i="5" l="1"/>
  <c r="C102" i="5" a="1"/>
  <c r="C102" i="5" s="1"/>
  <c r="A103" i="5"/>
  <c r="B102" i="5" a="1"/>
  <c r="B102" i="5" s="1"/>
  <c r="E102" i="5" a="1"/>
  <c r="E102" i="5" s="1"/>
  <c r="D101" i="5"/>
  <c r="F102" i="5" a="1"/>
  <c r="F102" i="5" l="1"/>
  <c r="D102" i="5" s="1"/>
  <c r="B103" i="5" a="1"/>
  <c r="B103" i="5" s="1"/>
  <c r="E103" i="5" a="1"/>
  <c r="E103" i="5" s="1"/>
  <c r="C103" i="5" a="1"/>
  <c r="C103" i="5" s="1"/>
  <c r="A104" i="5"/>
  <c r="F103" i="5" a="1"/>
  <c r="F103" i="5" l="1"/>
  <c r="D103" i="5" s="1"/>
  <c r="B104" i="5" a="1"/>
  <c r="B104" i="5" s="1"/>
  <c r="A105" i="5"/>
  <c r="E104" i="5" a="1"/>
  <c r="E104" i="5" s="1"/>
  <c r="C104" i="5" a="1"/>
  <c r="C104" i="5" s="1"/>
  <c r="F104" i="5" a="1"/>
  <c r="F104" i="5" l="1"/>
  <c r="D104" i="5" s="1"/>
  <c r="E105" i="5" a="1"/>
  <c r="E105" i="5" s="1"/>
  <c r="C105" i="5" a="1"/>
  <c r="C105" i="5" s="1"/>
  <c r="B105" i="5" a="1"/>
  <c r="B105" i="5" s="1"/>
  <c r="A106" i="5"/>
  <c r="F105" i="5" a="1"/>
  <c r="F105" i="5" l="1"/>
  <c r="D105" i="5" s="1"/>
  <c r="B106" i="5" a="1"/>
  <c r="B106" i="5" s="1"/>
  <c r="E106" i="5" a="1"/>
  <c r="E106" i="5" s="1"/>
  <c r="C106" i="5" a="1"/>
  <c r="C106" i="5" s="1"/>
  <c r="A107" i="5"/>
  <c r="F106" i="5" a="1"/>
  <c r="F106" i="5" l="1"/>
  <c r="C107" i="5" a="1"/>
  <c r="C107" i="5" s="1"/>
  <c r="A108" i="5"/>
  <c r="B107" i="5" a="1"/>
  <c r="B107" i="5" s="1"/>
  <c r="E107" i="5" a="1"/>
  <c r="E107" i="5" s="1"/>
  <c r="D106" i="5"/>
  <c r="F107" i="5" a="1"/>
  <c r="F107" i="5" l="1"/>
  <c r="D107" i="5"/>
  <c r="C108" i="5" a="1"/>
  <c r="C108" i="5" s="1"/>
  <c r="A109" i="5"/>
  <c r="B108" i="5" a="1"/>
  <c r="B108" i="5" s="1"/>
  <c r="E108" i="5" a="1"/>
  <c r="E108" i="5" s="1"/>
  <c r="F108" i="5" a="1"/>
  <c r="F108" i="5" l="1"/>
  <c r="B109" i="5" a="1"/>
  <c r="B109" i="5" s="1"/>
  <c r="A110" i="5"/>
  <c r="E109" i="5" a="1"/>
  <c r="E109" i="5" s="1"/>
  <c r="C109" i="5" a="1"/>
  <c r="C109" i="5" s="1"/>
  <c r="D108" i="5"/>
  <c r="F109" i="5" a="1"/>
  <c r="F109" i="5" l="1"/>
  <c r="D109" i="5"/>
  <c r="B110" i="5" a="1"/>
  <c r="B110" i="5" s="1"/>
  <c r="E110" i="5" a="1"/>
  <c r="E110" i="5" s="1"/>
  <c r="C110" i="5" a="1"/>
  <c r="C110" i="5" s="1"/>
  <c r="A111" i="5"/>
  <c r="F110" i="5" a="1"/>
  <c r="F110" i="5" l="1"/>
  <c r="E111" i="5" a="1"/>
  <c r="E111" i="5" s="1"/>
  <c r="A112" i="5"/>
  <c r="C111" i="5" a="1"/>
  <c r="C111" i="5" s="1"/>
  <c r="B111" i="5" a="1"/>
  <c r="B111" i="5" s="1"/>
  <c r="D110" i="5"/>
  <c r="F111" i="5" a="1"/>
  <c r="F111" i="5" l="1"/>
  <c r="D111" i="5" s="1"/>
  <c r="A113" i="5"/>
  <c r="B112" i="5" a="1"/>
  <c r="B112" i="5" s="1"/>
  <c r="C112" i="5" a="1"/>
  <c r="C112" i="5" s="1"/>
  <c r="E112" i="5" a="1"/>
  <c r="E112" i="5" s="1"/>
  <c r="F112" i="5" a="1"/>
  <c r="F112" i="5" l="1"/>
  <c r="D112" i="5" s="1"/>
  <c r="B113" i="5" a="1"/>
  <c r="B113" i="5" s="1"/>
  <c r="E113" i="5" a="1"/>
  <c r="E113" i="5" s="1"/>
  <c r="A114" i="5"/>
  <c r="C113" i="5" a="1"/>
  <c r="C113" i="5" s="1"/>
  <c r="F113" i="5" a="1"/>
  <c r="F113" i="5" l="1"/>
  <c r="D113" i="5"/>
  <c r="E114" i="5" a="1"/>
  <c r="E114" i="5" s="1"/>
  <c r="C114" i="5" a="1"/>
  <c r="C114" i="5" s="1"/>
  <c r="B114" i="5" a="1"/>
  <c r="B114" i="5" s="1"/>
  <c r="A115" i="5"/>
  <c r="F114" i="5" a="1"/>
  <c r="F114" i="5" l="1"/>
  <c r="D114" i="5"/>
  <c r="E115" i="5" a="1"/>
  <c r="E115" i="5" s="1"/>
  <c r="C115" i="5" a="1"/>
  <c r="C115" i="5" s="1"/>
  <c r="A116" i="5"/>
  <c r="B115" i="5" a="1"/>
  <c r="B115" i="5" s="1"/>
  <c r="F115" i="5" a="1"/>
  <c r="F115" i="5" l="1"/>
  <c r="D115" i="5" s="1"/>
  <c r="A117" i="5"/>
  <c r="B116" i="5" a="1"/>
  <c r="B116" i="5" s="1"/>
  <c r="E116" i="5" a="1"/>
  <c r="E116" i="5" s="1"/>
  <c r="C116" i="5" a="1"/>
  <c r="C116" i="5" s="1"/>
  <c r="F116" i="5" a="1"/>
  <c r="F116" i="5" l="1"/>
  <c r="D116" i="5" s="1"/>
  <c r="C117" i="5" a="1"/>
  <c r="C117" i="5" s="1"/>
  <c r="A118" i="5"/>
  <c r="E117" i="5" a="1"/>
  <c r="E117" i="5" s="1"/>
  <c r="B117" i="5" a="1"/>
  <c r="B117" i="5" s="1"/>
  <c r="F117" i="5" a="1"/>
  <c r="F117" i="5" l="1"/>
  <c r="D117" i="5"/>
  <c r="B118" i="5" a="1"/>
  <c r="B118" i="5" s="1"/>
  <c r="C118" i="5" a="1"/>
  <c r="C118" i="5" s="1"/>
  <c r="E118" i="5" a="1"/>
  <c r="E118" i="5" s="1"/>
  <c r="A119" i="5"/>
  <c r="F118" i="5" a="1"/>
  <c r="F118" i="5" l="1"/>
  <c r="D118" i="5" s="1"/>
  <c r="E119" i="5" a="1"/>
  <c r="E119" i="5" s="1"/>
  <c r="C119" i="5" a="1"/>
  <c r="C119" i="5" s="1"/>
  <c r="A120" i="5"/>
  <c r="B119" i="5" a="1"/>
  <c r="B119" i="5" s="1"/>
  <c r="F119" i="5" a="1"/>
  <c r="F119" i="5" l="1"/>
  <c r="D119" i="5" s="1"/>
  <c r="C120" i="5" a="1"/>
  <c r="C120" i="5" s="1"/>
  <c r="A121" i="5"/>
  <c r="E120" i="5" a="1"/>
  <c r="E120" i="5" s="1"/>
  <c r="B120" i="5" a="1"/>
  <c r="B120" i="5" s="1"/>
  <c r="F120" i="5" a="1"/>
  <c r="F120" i="5" l="1"/>
  <c r="D120" i="5" s="1"/>
  <c r="A122" i="5"/>
  <c r="E121" i="5" a="1"/>
  <c r="E121" i="5" s="1"/>
  <c r="C121" i="5" a="1"/>
  <c r="C121" i="5" s="1"/>
  <c r="B121" i="5" a="1"/>
  <c r="B121" i="5" s="1"/>
  <c r="F121" i="5" a="1"/>
  <c r="F121" i="5" l="1"/>
  <c r="D121" i="5" s="1"/>
  <c r="B122" i="5" a="1"/>
  <c r="B122" i="5" s="1"/>
  <c r="A123" i="5"/>
  <c r="E122" i="5" a="1"/>
  <c r="E122" i="5" s="1"/>
  <c r="C122" i="5" a="1"/>
  <c r="C122" i="5" s="1"/>
  <c r="F122" i="5" a="1"/>
  <c r="F122" i="5" l="1"/>
  <c r="D122" i="5"/>
  <c r="A124" i="5"/>
  <c r="C123" i="5" a="1"/>
  <c r="C123" i="5" s="1"/>
  <c r="B123" i="5" a="1"/>
  <c r="B123" i="5" s="1"/>
  <c r="E123" i="5" a="1"/>
  <c r="E123" i="5" s="1"/>
  <c r="F123" i="5" a="1"/>
  <c r="F123" i="5" l="1"/>
  <c r="D123" i="5"/>
  <c r="C124" i="5" a="1"/>
  <c r="C124" i="5" s="1"/>
  <c r="E124" i="5" a="1"/>
  <c r="E124" i="5" s="1"/>
  <c r="B124" i="5" a="1"/>
  <c r="B124" i="5" s="1"/>
  <c r="A125" i="5"/>
  <c r="F124" i="5" a="1"/>
  <c r="F124" i="5" l="1"/>
  <c r="B125" i="5" a="1"/>
  <c r="B125" i="5" s="1"/>
  <c r="E125" i="5" a="1"/>
  <c r="E125" i="5" s="1"/>
  <c r="C125" i="5" a="1"/>
  <c r="C125" i="5" s="1"/>
  <c r="A126" i="5"/>
  <c r="D124" i="5"/>
  <c r="F125" i="5" a="1"/>
  <c r="F125" i="5" l="1"/>
  <c r="C126" i="5" a="1"/>
  <c r="C126" i="5" s="1"/>
  <c r="B126" i="5" a="1"/>
  <c r="B126" i="5" s="1"/>
  <c r="A127" i="5"/>
  <c r="E126" i="5" a="1"/>
  <c r="E126" i="5" s="1"/>
  <c r="D125" i="5"/>
  <c r="F126" i="5" a="1"/>
  <c r="F126" i="5" l="1"/>
  <c r="D126" i="5" s="1"/>
  <c r="E127" i="5" a="1"/>
  <c r="E127" i="5" s="1"/>
  <c r="C127" i="5" a="1"/>
  <c r="C127" i="5" s="1"/>
  <c r="B127" i="5" a="1"/>
  <c r="B127" i="5" s="1"/>
  <c r="A128" i="5"/>
  <c r="F127" i="5" a="1"/>
  <c r="F127" i="5" l="1"/>
  <c r="D127" i="5"/>
  <c r="E128" i="5" a="1"/>
  <c r="E128" i="5" s="1"/>
  <c r="B128" i="5" a="1"/>
  <c r="B128" i="5" s="1"/>
  <c r="A129" i="5"/>
  <c r="C128" i="5" a="1"/>
  <c r="C128" i="5" s="1"/>
  <c r="F128" i="5" a="1"/>
  <c r="F128" i="5" l="1"/>
  <c r="D128" i="5"/>
  <c r="A130" i="5"/>
  <c r="C129" i="5" a="1"/>
  <c r="C129" i="5" s="1"/>
  <c r="B129" i="5" a="1"/>
  <c r="B129" i="5" s="1"/>
  <c r="E129" i="5" a="1"/>
  <c r="E129" i="5" s="1"/>
  <c r="F129" i="5" a="1"/>
  <c r="F129" i="5" l="1"/>
  <c r="D129" i="5"/>
  <c r="E130" i="5" a="1"/>
  <c r="E130" i="5" s="1"/>
  <c r="C130" i="5" a="1"/>
  <c r="C130" i="5" s="1"/>
  <c r="B130" i="5" a="1"/>
  <c r="B130" i="5" s="1"/>
  <c r="A131" i="5"/>
  <c r="F130" i="5" a="1"/>
  <c r="F130" i="5" l="1"/>
  <c r="A132" i="5"/>
  <c r="E131" i="5" a="1"/>
  <c r="E131" i="5" s="1"/>
  <c r="B131" i="5" a="1"/>
  <c r="B131" i="5" s="1"/>
  <c r="C131" i="5" a="1"/>
  <c r="C131" i="5" s="1"/>
  <c r="D130" i="5"/>
  <c r="F131" i="5" a="1"/>
  <c r="F131" i="5" l="1"/>
  <c r="D131" i="5" s="1"/>
  <c r="B132" i="5" a="1"/>
  <c r="B132" i="5" s="1"/>
  <c r="A133" i="5"/>
  <c r="E132" i="5" a="1"/>
  <c r="E132" i="5" s="1"/>
  <c r="C132" i="5" a="1"/>
  <c r="C132" i="5" s="1"/>
  <c r="F132" i="5" a="1"/>
  <c r="F132" i="5" l="1"/>
  <c r="D132" i="5" s="1"/>
  <c r="E133" i="5" a="1"/>
  <c r="E133" i="5" s="1"/>
  <c r="A134" i="5"/>
  <c r="C133" i="5" a="1"/>
  <c r="C133" i="5" s="1"/>
  <c r="B133" i="5" a="1"/>
  <c r="B133" i="5" s="1"/>
  <c r="F133" i="5" a="1"/>
  <c r="F133" i="5" l="1"/>
  <c r="A135" i="5"/>
  <c r="E134" i="5" a="1"/>
  <c r="E134" i="5" s="1"/>
  <c r="C134" i="5" a="1"/>
  <c r="C134" i="5" s="1"/>
  <c r="B134" i="5" a="1"/>
  <c r="B134" i="5" s="1"/>
  <c r="D133" i="5"/>
  <c r="F134" i="5" a="1"/>
  <c r="F134" i="5" l="1"/>
  <c r="D134" i="5"/>
  <c r="E135" i="5" a="1"/>
  <c r="E135" i="5" s="1"/>
  <c r="B135" i="5" a="1"/>
  <c r="B135" i="5" s="1"/>
  <c r="A136" i="5"/>
  <c r="C135" i="5" a="1"/>
  <c r="C135" i="5" s="1"/>
  <c r="F135" i="5" a="1"/>
  <c r="F135" i="5" l="1"/>
  <c r="D135" i="5"/>
  <c r="C136" i="5" a="1"/>
  <c r="C136" i="5" s="1"/>
  <c r="B136" i="5" a="1"/>
  <c r="B136" i="5" s="1"/>
  <c r="A137" i="5"/>
  <c r="E136" i="5" a="1"/>
  <c r="E136" i="5" s="1"/>
  <c r="F136" i="5" a="1"/>
  <c r="F136" i="5" l="1"/>
  <c r="D136" i="5" s="1"/>
  <c r="E137" i="5" a="1"/>
  <c r="E137" i="5" s="1"/>
  <c r="C137" i="5" a="1"/>
  <c r="C137" i="5" s="1"/>
  <c r="A138" i="5"/>
  <c r="B137" i="5" a="1"/>
  <c r="B137" i="5" s="1"/>
  <c r="F137" i="5" a="1"/>
  <c r="F137" i="5" l="1"/>
  <c r="E138" i="5" a="1"/>
  <c r="E138" i="5" s="1"/>
  <c r="C138" i="5" a="1"/>
  <c r="C138" i="5" s="1"/>
  <c r="B138" i="5" a="1"/>
  <c r="B138" i="5" s="1"/>
  <c r="A139" i="5"/>
  <c r="D137" i="5"/>
  <c r="F138" i="5" a="1"/>
  <c r="F138" i="5" l="1"/>
  <c r="D138" i="5" s="1"/>
  <c r="C139" i="5" a="1"/>
  <c r="C139" i="5" s="1"/>
  <c r="A140" i="5"/>
  <c r="E139" i="5" a="1"/>
  <c r="E139" i="5" s="1"/>
  <c r="B139" i="5" a="1"/>
  <c r="B139" i="5" s="1"/>
  <c r="F139" i="5" a="1"/>
  <c r="F139" i="5" l="1"/>
  <c r="E140" i="5" a="1"/>
  <c r="E140" i="5" s="1"/>
  <c r="A141" i="5"/>
  <c r="B140" i="5" a="1"/>
  <c r="B140" i="5" s="1"/>
  <c r="C140" i="5" a="1"/>
  <c r="C140" i="5" s="1"/>
  <c r="D139" i="5"/>
  <c r="F140" i="5" a="1"/>
  <c r="F140" i="5" l="1"/>
  <c r="D140" i="5"/>
  <c r="C141" i="5" a="1"/>
  <c r="C141" i="5" s="1"/>
  <c r="B141" i="5" a="1"/>
  <c r="B141" i="5" s="1"/>
  <c r="E141" i="5" a="1"/>
  <c r="E141" i="5" s="1"/>
  <c r="A142" i="5"/>
  <c r="F141" i="5" a="1"/>
  <c r="F141" i="5" l="1"/>
  <c r="E142" i="5" a="1"/>
  <c r="E142" i="5" s="1"/>
  <c r="C142" i="5" a="1"/>
  <c r="C142" i="5" s="1"/>
  <c r="A143" i="5"/>
  <c r="B142" i="5" a="1"/>
  <c r="B142" i="5" s="1"/>
  <c r="D141" i="5"/>
  <c r="F142" i="5" a="1"/>
  <c r="F142" i="5" l="1"/>
  <c r="D142" i="5" s="1"/>
  <c r="C143" i="5" a="1"/>
  <c r="C143" i="5" s="1"/>
  <c r="A144" i="5"/>
  <c r="E143" i="5" a="1"/>
  <c r="E143" i="5" s="1"/>
  <c r="B143" i="5" a="1"/>
  <c r="B143" i="5" s="1"/>
  <c r="F143" i="5" a="1"/>
  <c r="F143" i="5" l="1"/>
  <c r="E144" i="5" a="1"/>
  <c r="E144" i="5" s="1"/>
  <c r="A145" i="5"/>
  <c r="B144" i="5" a="1"/>
  <c r="B144" i="5" s="1"/>
  <c r="C144" i="5" a="1"/>
  <c r="C144" i="5" s="1"/>
  <c r="D143" i="5"/>
  <c r="F144" i="5" a="1"/>
  <c r="F144" i="5" l="1"/>
  <c r="D144" i="5"/>
  <c r="E145" i="5" a="1"/>
  <c r="E145" i="5" s="1"/>
  <c r="A146" i="5"/>
  <c r="C145" i="5" a="1"/>
  <c r="C145" i="5" s="1"/>
  <c r="B145" i="5" a="1"/>
  <c r="B145" i="5" s="1"/>
  <c r="F145" i="5" a="1"/>
  <c r="F145" i="5" l="1"/>
  <c r="D145" i="5"/>
  <c r="A147" i="5"/>
  <c r="C146" i="5" a="1"/>
  <c r="C146" i="5" s="1"/>
  <c r="E146" i="5" a="1"/>
  <c r="E146" i="5" s="1"/>
  <c r="B146" i="5" a="1"/>
  <c r="B146" i="5" s="1"/>
  <c r="F146" i="5" a="1"/>
  <c r="F146" i="5" l="1"/>
  <c r="D146" i="5" s="1"/>
  <c r="C147" i="5" a="1"/>
  <c r="C147" i="5" s="1"/>
  <c r="B147" i="5" a="1"/>
  <c r="B147" i="5" s="1"/>
  <c r="E147" i="5" a="1"/>
  <c r="E147" i="5" s="1"/>
  <c r="A148" i="5"/>
  <c r="F147" i="5" a="1"/>
  <c r="F147" i="5" l="1"/>
  <c r="D147" i="5"/>
  <c r="E148" i="5" a="1"/>
  <c r="E148" i="5" s="1"/>
  <c r="C148" i="5" a="1"/>
  <c r="C148" i="5" s="1"/>
  <c r="B148" i="5" a="1"/>
  <c r="B148" i="5" s="1"/>
  <c r="A149" i="5"/>
  <c r="F148" i="5" a="1"/>
  <c r="F148" i="5" l="1"/>
  <c r="D148" i="5"/>
  <c r="E149" i="5" a="1"/>
  <c r="E149" i="5" s="1"/>
  <c r="A150" i="5"/>
  <c r="B149" i="5" a="1"/>
  <c r="B149" i="5" s="1"/>
  <c r="C149" i="5" a="1"/>
  <c r="C149" i="5" s="1"/>
  <c r="F149" i="5" a="1"/>
  <c r="F149" i="5" l="1"/>
  <c r="D149" i="5" s="1"/>
  <c r="B150" i="5" a="1"/>
  <c r="B150" i="5" s="1"/>
  <c r="A151" i="5"/>
  <c r="E150" i="5" a="1"/>
  <c r="E150" i="5" s="1"/>
  <c r="C150" i="5" a="1"/>
  <c r="C150" i="5" s="1"/>
  <c r="F150" i="5" a="1"/>
  <c r="F150" i="5" l="1"/>
  <c r="A152" i="5"/>
  <c r="C151" i="5" a="1"/>
  <c r="C151" i="5" s="1"/>
  <c r="B151" i="5" a="1"/>
  <c r="B151" i="5" s="1"/>
  <c r="E151" i="5" a="1"/>
  <c r="E151" i="5" s="1"/>
  <c r="D150" i="5"/>
  <c r="F151" i="5" a="1"/>
  <c r="F151" i="5" l="1"/>
  <c r="D151" i="5"/>
  <c r="C152" i="5" a="1"/>
  <c r="C152" i="5" s="1"/>
  <c r="B152" i="5" a="1"/>
  <c r="B152" i="5" s="1"/>
  <c r="E152" i="5" a="1"/>
  <c r="E152" i="5" s="1"/>
  <c r="A153" i="5"/>
  <c r="F152" i="5" a="1"/>
  <c r="F152" i="5" l="1"/>
  <c r="D152" i="5"/>
  <c r="B153" i="5" a="1"/>
  <c r="B153" i="5" s="1"/>
  <c r="E153" i="5" a="1"/>
  <c r="E153" i="5" s="1"/>
  <c r="C153" i="5" a="1"/>
  <c r="C153" i="5" s="1"/>
  <c r="A154" i="5"/>
  <c r="F153" i="5" a="1"/>
  <c r="F153" i="5" l="1"/>
  <c r="C154" i="5" a="1"/>
  <c r="C154" i="5" s="1"/>
  <c r="B154" i="5" a="1"/>
  <c r="B154" i="5" s="1"/>
  <c r="A155" i="5"/>
  <c r="E154" i="5" a="1"/>
  <c r="E154" i="5" s="1"/>
  <c r="D153" i="5"/>
  <c r="F154" i="5" a="1"/>
  <c r="F154" i="5" l="1"/>
  <c r="B155" i="5" a="1"/>
  <c r="B155" i="5" s="1"/>
  <c r="C155" i="5" a="1"/>
  <c r="C155" i="5" s="1"/>
  <c r="A156" i="5"/>
  <c r="E155" i="5" a="1"/>
  <c r="E155" i="5" s="1"/>
  <c r="D154" i="5"/>
  <c r="F155" i="5" a="1"/>
  <c r="F155" i="5" l="1"/>
  <c r="D155" i="5" s="1"/>
  <c r="C156" i="5" a="1"/>
  <c r="C156" i="5" s="1"/>
  <c r="A157" i="5"/>
  <c r="B156" i="5" a="1"/>
  <c r="B156" i="5" s="1"/>
  <c r="E156" i="5" a="1"/>
  <c r="E156" i="5" s="1"/>
  <c r="F156" i="5" a="1"/>
  <c r="F156" i="5" l="1"/>
  <c r="D156" i="5" s="1"/>
  <c r="A158" i="5"/>
  <c r="B157" i="5" a="1"/>
  <c r="B157" i="5" s="1"/>
  <c r="E157" i="5" a="1"/>
  <c r="E157" i="5" s="1"/>
  <c r="C157" i="5" a="1"/>
  <c r="C157" i="5" s="1"/>
  <c r="F157" i="5" a="1"/>
  <c r="F157" i="5" l="1"/>
  <c r="D157" i="5" s="1"/>
  <c r="B158" i="5" a="1"/>
  <c r="B158" i="5" s="1"/>
  <c r="A159" i="5"/>
  <c r="C158" i="5" a="1"/>
  <c r="C158" i="5" s="1"/>
  <c r="E158" i="5" a="1"/>
  <c r="E158" i="5" s="1"/>
  <c r="F158" i="5" a="1"/>
  <c r="F158" i="5" l="1"/>
  <c r="A160" i="5"/>
  <c r="E159" i="5" a="1"/>
  <c r="E159" i="5" s="1"/>
  <c r="B159" i="5" a="1"/>
  <c r="B159" i="5" s="1"/>
  <c r="C159" i="5" a="1"/>
  <c r="C159" i="5" s="1"/>
  <c r="D158" i="5"/>
  <c r="F159" i="5" a="1"/>
  <c r="F159" i="5" l="1"/>
  <c r="C160" i="5" a="1"/>
  <c r="C160" i="5" s="1"/>
  <c r="A161" i="5"/>
  <c r="B160" i="5" a="1"/>
  <c r="B160" i="5" s="1"/>
  <c r="E160" i="5" a="1"/>
  <c r="E160" i="5" s="1"/>
  <c r="D159" i="5"/>
  <c r="F160" i="5" a="1"/>
  <c r="F160" i="5" l="1"/>
  <c r="D160" i="5" s="1"/>
  <c r="E161" i="5" a="1"/>
  <c r="E161" i="5" s="1"/>
  <c r="A162" i="5"/>
  <c r="B161" i="5" a="1"/>
  <c r="B161" i="5" s="1"/>
  <c r="C161" i="5" a="1"/>
  <c r="C161" i="5" s="1"/>
  <c r="F161" i="5" a="1"/>
  <c r="F161" i="5" l="1"/>
  <c r="D161" i="5" s="1"/>
  <c r="B162" i="5" a="1"/>
  <c r="B162" i="5" s="1"/>
  <c r="E162" i="5" a="1"/>
  <c r="E162" i="5" s="1"/>
  <c r="C162" i="5" a="1"/>
  <c r="C162" i="5" s="1"/>
  <c r="A163" i="5"/>
  <c r="F162" i="5" a="1"/>
  <c r="F162" i="5" l="1"/>
  <c r="D162" i="5" s="1"/>
  <c r="A164" i="5"/>
  <c r="E163" i="5" a="1"/>
  <c r="E163" i="5" s="1"/>
  <c r="B163" i="5" a="1"/>
  <c r="B163" i="5" s="1"/>
  <c r="C163" i="5" a="1"/>
  <c r="C163" i="5" s="1"/>
  <c r="F163" i="5" a="1"/>
  <c r="F163" i="5" l="1"/>
  <c r="D163" i="5"/>
  <c r="B164" i="5" a="1"/>
  <c r="B164" i="5" s="1"/>
  <c r="C164" i="5" a="1"/>
  <c r="C164" i="5" s="1"/>
  <c r="E164" i="5" a="1"/>
  <c r="E164" i="5" s="1"/>
  <c r="A165" i="5"/>
  <c r="F164" i="5" a="1"/>
  <c r="F164" i="5" l="1"/>
  <c r="D164" i="5" s="1"/>
  <c r="A166" i="5"/>
  <c r="C165" i="5" a="1"/>
  <c r="C165" i="5" s="1"/>
  <c r="B165" i="5" a="1"/>
  <c r="B165" i="5" s="1"/>
  <c r="E165" i="5" a="1"/>
  <c r="E165" i="5" s="1"/>
  <c r="F165" i="5" a="1"/>
  <c r="F165" i="5" l="1"/>
  <c r="D165" i="5" s="1"/>
  <c r="A167" i="5"/>
  <c r="C166" i="5" a="1"/>
  <c r="C166" i="5" s="1"/>
  <c r="B166" i="5" a="1"/>
  <c r="B166" i="5" s="1"/>
  <c r="E166" i="5" a="1"/>
  <c r="E166" i="5" s="1"/>
  <c r="F166" i="5" a="1"/>
  <c r="F166" i="5" l="1"/>
  <c r="D166" i="5" s="1"/>
  <c r="B167" i="5" a="1"/>
  <c r="B167" i="5" s="1"/>
  <c r="A168" i="5"/>
  <c r="C167" i="5" a="1"/>
  <c r="C167" i="5" s="1"/>
  <c r="E167" i="5" a="1"/>
  <c r="E167" i="5" s="1"/>
  <c r="F167" i="5" a="1"/>
  <c r="F167" i="5" l="1"/>
  <c r="D167" i="5" s="1"/>
  <c r="A169" i="5"/>
  <c r="B168" i="5" a="1"/>
  <c r="B168" i="5" s="1"/>
  <c r="E168" i="5" a="1"/>
  <c r="E168" i="5" s="1"/>
  <c r="C168" i="5" a="1"/>
  <c r="C168" i="5" s="1"/>
  <c r="F168" i="5" a="1"/>
  <c r="F168" i="5" l="1"/>
  <c r="D168" i="5" s="1"/>
  <c r="E169" i="5" a="1"/>
  <c r="E169" i="5" s="1"/>
  <c r="C169" i="5" a="1"/>
  <c r="C169" i="5" s="1"/>
  <c r="B169" i="5" a="1"/>
  <c r="B169" i="5" s="1"/>
  <c r="A170" i="5"/>
  <c r="F169" i="5" a="1"/>
  <c r="F169" i="5" l="1"/>
  <c r="D169" i="5"/>
  <c r="A171" i="5"/>
  <c r="C170" i="5" a="1"/>
  <c r="C170" i="5" s="1"/>
  <c r="B170" i="5" a="1"/>
  <c r="B170" i="5" s="1"/>
  <c r="E170" i="5" a="1"/>
  <c r="E170" i="5" s="1"/>
  <c r="F170" i="5" a="1"/>
  <c r="F170" i="5" l="1"/>
  <c r="A172" i="5"/>
  <c r="E171" i="5" a="1"/>
  <c r="E171" i="5" s="1"/>
  <c r="B171" i="5" a="1"/>
  <c r="B171" i="5" s="1"/>
  <c r="C171" i="5" a="1"/>
  <c r="C171" i="5" s="1"/>
  <c r="D170" i="5"/>
  <c r="F171" i="5" a="1"/>
  <c r="F171" i="5" l="1"/>
  <c r="D171" i="5"/>
  <c r="B172" i="5" a="1"/>
  <c r="B172" i="5" s="1"/>
  <c r="E172" i="5" a="1"/>
  <c r="E172" i="5" s="1"/>
  <c r="C172" i="5" a="1"/>
  <c r="C172" i="5" s="1"/>
  <c r="A173" i="5"/>
  <c r="F172" i="5" a="1"/>
  <c r="F172" i="5" l="1"/>
  <c r="D172" i="5"/>
  <c r="A174" i="5"/>
  <c r="E173" i="5" a="1"/>
  <c r="E173" i="5" s="1"/>
  <c r="C173" i="5" a="1"/>
  <c r="C173" i="5" s="1"/>
  <c r="B173" i="5" a="1"/>
  <c r="B173" i="5" s="1"/>
  <c r="F173" i="5" a="1"/>
  <c r="F173" i="5" l="1"/>
  <c r="D173" i="5" s="1"/>
  <c r="B174" i="5" a="1"/>
  <c r="B174" i="5" s="1"/>
  <c r="C174" i="5" a="1"/>
  <c r="C174" i="5" s="1"/>
  <c r="A175" i="5"/>
  <c r="E174" i="5" a="1"/>
  <c r="E174" i="5" s="1"/>
  <c r="F174" i="5" a="1"/>
  <c r="F174" i="5" l="1"/>
  <c r="D174" i="5" s="1"/>
  <c r="E175" i="5" a="1"/>
  <c r="E175" i="5" s="1"/>
  <c r="B175" i="5" a="1"/>
  <c r="B175" i="5" s="1"/>
  <c r="C175" i="5" a="1"/>
  <c r="C175" i="5" s="1"/>
  <c r="A176" i="5"/>
  <c r="F175" i="5" a="1"/>
  <c r="F175" i="5" l="1"/>
  <c r="C176" i="5" a="1"/>
  <c r="C176" i="5" s="1"/>
  <c r="E176" i="5" a="1"/>
  <c r="E176" i="5" s="1"/>
  <c r="A177" i="5"/>
  <c r="B176" i="5" a="1"/>
  <c r="B176" i="5" s="1"/>
  <c r="D175" i="5"/>
  <c r="F176" i="5" a="1"/>
  <c r="F176" i="5" l="1"/>
  <c r="D176" i="5"/>
  <c r="E177" i="5" a="1"/>
  <c r="E177" i="5" s="1"/>
  <c r="B177" i="5" a="1"/>
  <c r="B177" i="5" s="1"/>
  <c r="C177" i="5" a="1"/>
  <c r="C177" i="5" s="1"/>
  <c r="A178" i="5"/>
  <c r="F177" i="5" a="1"/>
  <c r="F177" i="5" l="1"/>
  <c r="E178" i="5" a="1"/>
  <c r="E178" i="5" s="1"/>
  <c r="B178" i="5" a="1"/>
  <c r="B178" i="5" s="1"/>
  <c r="C178" i="5" a="1"/>
  <c r="C178" i="5" s="1"/>
  <c r="A179" i="5"/>
  <c r="D177" i="5"/>
  <c r="F178" i="5" a="1"/>
  <c r="F178" i="5" l="1"/>
  <c r="B179" i="5" a="1"/>
  <c r="B179" i="5" s="1"/>
  <c r="C179" i="5" a="1"/>
  <c r="C179" i="5" s="1"/>
  <c r="A180" i="5"/>
  <c r="E179" i="5" a="1"/>
  <c r="E179" i="5" s="1"/>
  <c r="D178" i="5"/>
  <c r="F179" i="5" a="1"/>
  <c r="F179" i="5" l="1"/>
  <c r="D179" i="5"/>
  <c r="A181" i="5"/>
  <c r="B180" i="5" a="1"/>
  <c r="B180" i="5" s="1"/>
  <c r="E180" i="5" a="1"/>
  <c r="E180" i="5" s="1"/>
  <c r="C180" i="5" a="1"/>
  <c r="C180" i="5" s="1"/>
  <c r="F180" i="5" a="1"/>
  <c r="F180" i="5" l="1"/>
  <c r="D180" i="5"/>
  <c r="E181" i="5" a="1"/>
  <c r="E181" i="5" s="1"/>
  <c r="C181" i="5" a="1"/>
  <c r="C181" i="5" s="1"/>
  <c r="A182" i="5"/>
  <c r="B181" i="5" a="1"/>
  <c r="B181" i="5" s="1"/>
  <c r="F181" i="5" a="1"/>
  <c r="F181" i="5" l="1"/>
  <c r="D181" i="5"/>
  <c r="A183" i="5"/>
  <c r="C182" i="5" a="1"/>
  <c r="C182" i="5" s="1"/>
  <c r="E182" i="5" a="1"/>
  <c r="E182" i="5" s="1"/>
  <c r="B182" i="5" a="1"/>
  <c r="B182" i="5" s="1"/>
  <c r="F182" i="5" a="1"/>
  <c r="F182" i="5" l="1"/>
  <c r="D182" i="5"/>
  <c r="B183" i="5" a="1"/>
  <c r="B183" i="5" s="1"/>
  <c r="E183" i="5" a="1"/>
  <c r="E183" i="5" s="1"/>
  <c r="A184" i="5"/>
  <c r="C183" i="5" a="1"/>
  <c r="C183" i="5" s="1"/>
  <c r="F183" i="5" a="1"/>
  <c r="F183" i="5" l="1"/>
  <c r="C184" i="5" a="1"/>
  <c r="C184" i="5" s="1"/>
  <c r="B184" i="5" a="1"/>
  <c r="B184" i="5" s="1"/>
  <c r="A185" i="5"/>
  <c r="E184" i="5" a="1"/>
  <c r="E184" i="5" s="1"/>
  <c r="D183" i="5"/>
  <c r="F184" i="5" a="1"/>
  <c r="F184" i="5" l="1"/>
  <c r="A186" i="5"/>
  <c r="B185" i="5" a="1"/>
  <c r="B185" i="5" s="1"/>
  <c r="C185" i="5" a="1"/>
  <c r="C185" i="5" s="1"/>
  <c r="E185" i="5" a="1"/>
  <c r="E185" i="5" s="1"/>
  <c r="D184" i="5"/>
  <c r="F185" i="5" a="1"/>
  <c r="F185" i="5" l="1"/>
  <c r="D185" i="5"/>
  <c r="C186" i="5" a="1"/>
  <c r="C186" i="5" s="1"/>
  <c r="B186" i="5" a="1"/>
  <c r="B186" i="5" s="1"/>
  <c r="E186" i="5" a="1"/>
  <c r="E186" i="5" s="1"/>
  <c r="A187" i="5"/>
  <c r="F186" i="5" a="1"/>
  <c r="F186" i="5" l="1"/>
  <c r="D186" i="5"/>
  <c r="A188" i="5"/>
  <c r="C187" i="5" a="1"/>
  <c r="C187" i="5" s="1"/>
  <c r="E187" i="5" a="1"/>
  <c r="E187" i="5" s="1"/>
  <c r="B187" i="5" a="1"/>
  <c r="B187" i="5" s="1"/>
  <c r="F187" i="5" a="1"/>
  <c r="F187" i="5" l="1"/>
  <c r="A189" i="5"/>
  <c r="B188" i="5" a="1"/>
  <c r="B188" i="5" s="1"/>
  <c r="C188" i="5" a="1"/>
  <c r="C188" i="5" s="1"/>
  <c r="E188" i="5" a="1"/>
  <c r="E188" i="5" s="1"/>
  <c r="D187" i="5"/>
  <c r="F188" i="5" a="1"/>
  <c r="F188" i="5" l="1"/>
  <c r="D188" i="5" s="1"/>
  <c r="B189" i="5" a="1"/>
  <c r="B189" i="5" s="1"/>
  <c r="E189" i="5" a="1"/>
  <c r="E189" i="5" s="1"/>
  <c r="C189" i="5" a="1"/>
  <c r="C189" i="5" s="1"/>
  <c r="A190" i="5"/>
  <c r="F189" i="5" a="1"/>
  <c r="F189" i="5" l="1"/>
  <c r="D189" i="5" s="1"/>
  <c r="A191" i="5"/>
  <c r="B190" i="5" a="1"/>
  <c r="B190" i="5" s="1"/>
  <c r="E190" i="5" a="1"/>
  <c r="E190" i="5" s="1"/>
  <c r="C190" i="5" a="1"/>
  <c r="C190" i="5" s="1"/>
  <c r="F190" i="5" a="1"/>
  <c r="F190" i="5" l="1"/>
  <c r="D190" i="5"/>
  <c r="C191" i="5" a="1"/>
  <c r="C191" i="5" s="1"/>
  <c r="E191" i="5" a="1"/>
  <c r="E191" i="5" s="1"/>
  <c r="A192" i="5"/>
  <c r="B191" i="5" a="1"/>
  <c r="B191" i="5" s="1"/>
  <c r="F191" i="5" a="1"/>
  <c r="F191" i="5" l="1"/>
  <c r="D191" i="5"/>
  <c r="E192" i="5" a="1"/>
  <c r="E192" i="5" s="1"/>
  <c r="B192" i="5" a="1"/>
  <c r="B192" i="5" s="1"/>
  <c r="C192" i="5" a="1"/>
  <c r="C192" i="5" s="1"/>
  <c r="A193" i="5"/>
  <c r="F192" i="5" a="1"/>
  <c r="F192" i="5" l="1"/>
  <c r="C193" i="5" a="1"/>
  <c r="C193" i="5" s="1"/>
  <c r="A194" i="5"/>
  <c r="B193" i="5" a="1"/>
  <c r="B193" i="5" s="1"/>
  <c r="E193" i="5" a="1"/>
  <c r="E193" i="5" s="1"/>
  <c r="D192" i="5"/>
  <c r="F193" i="5" a="1"/>
  <c r="F193" i="5" l="1"/>
  <c r="D193" i="5" s="1"/>
  <c r="B194" i="5" a="1"/>
  <c r="B194" i="5" s="1"/>
  <c r="E194" i="5" a="1"/>
  <c r="E194" i="5" s="1"/>
  <c r="C194" i="5" a="1"/>
  <c r="C194" i="5" s="1"/>
  <c r="A195" i="5"/>
  <c r="F194" i="5" a="1"/>
  <c r="F194" i="5" l="1"/>
  <c r="D194" i="5"/>
  <c r="B195" i="5" a="1"/>
  <c r="B195" i="5" s="1"/>
  <c r="E195" i="5" a="1"/>
  <c r="E195" i="5" s="1"/>
  <c r="A196" i="5"/>
  <c r="C195" i="5" a="1"/>
  <c r="C195" i="5" s="1"/>
  <c r="F195" i="5" a="1"/>
  <c r="F195" i="5" l="1"/>
  <c r="B196" i="5" a="1"/>
  <c r="B196" i="5" s="1"/>
  <c r="C196" i="5" a="1"/>
  <c r="C196" i="5" s="1"/>
  <c r="E196" i="5" a="1"/>
  <c r="E196" i="5" s="1"/>
  <c r="A197" i="5"/>
  <c r="D195" i="5"/>
  <c r="F196" i="5" a="1"/>
  <c r="F196" i="5" l="1"/>
  <c r="C197" i="5" a="1"/>
  <c r="C197" i="5" s="1"/>
  <c r="B197" i="5" a="1"/>
  <c r="B197" i="5" s="1"/>
  <c r="A198" i="5"/>
  <c r="E197" i="5" a="1"/>
  <c r="E197" i="5" s="1"/>
  <c r="D196" i="5"/>
  <c r="F197" i="5" a="1"/>
  <c r="F197" i="5" l="1"/>
  <c r="C198" i="5" a="1"/>
  <c r="C198" i="5" s="1"/>
  <c r="A199" i="5"/>
  <c r="B198" i="5" a="1"/>
  <c r="B198" i="5" s="1"/>
  <c r="E198" i="5" a="1"/>
  <c r="E198" i="5" s="1"/>
  <c r="D197" i="5"/>
  <c r="F198" i="5" a="1"/>
  <c r="F198" i="5" l="1"/>
  <c r="D198" i="5"/>
  <c r="B199" i="5" a="1"/>
  <c r="B199" i="5" s="1"/>
  <c r="E199" i="5" a="1"/>
  <c r="E199" i="5" s="1"/>
  <c r="A200" i="5"/>
  <c r="C199" i="5" a="1"/>
  <c r="C199" i="5" s="1"/>
  <c r="F199" i="5" a="1"/>
  <c r="F199" i="5" l="1"/>
  <c r="E200" i="5" a="1"/>
  <c r="E200" i="5" s="1"/>
  <c r="C200" i="5" a="1"/>
  <c r="C200" i="5" s="1"/>
  <c r="A201" i="5"/>
  <c r="B200" i="5" a="1"/>
  <c r="B200" i="5" s="1"/>
  <c r="D199" i="5"/>
  <c r="F200" i="5" a="1"/>
  <c r="F200" i="5" l="1"/>
  <c r="D200" i="5" s="1"/>
  <c r="A202" i="5"/>
  <c r="B201" i="5" a="1"/>
  <c r="B201" i="5" s="1"/>
  <c r="E201" i="5" a="1"/>
  <c r="E201" i="5" s="1"/>
  <c r="C201" i="5" a="1"/>
  <c r="C201" i="5" s="1"/>
  <c r="F201" i="5" a="1"/>
  <c r="F201" i="5" l="1"/>
  <c r="D201" i="5"/>
  <c r="A203" i="5"/>
  <c r="C202" i="5" a="1"/>
  <c r="C202" i="5" s="1"/>
  <c r="B202" i="5" a="1"/>
  <c r="B202" i="5" s="1"/>
  <c r="E202" i="5" a="1"/>
  <c r="E202" i="5" s="1"/>
  <c r="F202" i="5" a="1"/>
  <c r="F202" i="5" l="1"/>
  <c r="A204" i="5"/>
  <c r="B203" i="5" a="1"/>
  <c r="B203" i="5" s="1"/>
  <c r="C203" i="5" a="1"/>
  <c r="C203" i="5" s="1"/>
  <c r="E203" i="5" a="1"/>
  <c r="E203" i="5" s="1"/>
  <c r="D202" i="5"/>
  <c r="F203" i="5" a="1"/>
  <c r="F203" i="5" l="1"/>
  <c r="A205" i="5"/>
  <c r="E204" i="5" a="1"/>
  <c r="E204" i="5" s="1"/>
  <c r="B204" i="5" a="1"/>
  <c r="B204" i="5" s="1"/>
  <c r="C204" i="5" a="1"/>
  <c r="C204" i="5" s="1"/>
  <c r="D203" i="5"/>
  <c r="F204" i="5" a="1"/>
  <c r="F204" i="5" l="1"/>
  <c r="D204" i="5"/>
  <c r="E205" i="5" a="1"/>
  <c r="E205" i="5" s="1"/>
  <c r="A206" i="5"/>
  <c r="C205" i="5" a="1"/>
  <c r="C205" i="5" s="1"/>
  <c r="B205" i="5" a="1"/>
  <c r="B205" i="5" s="1"/>
  <c r="F205" i="5" a="1"/>
  <c r="F205" i="5" l="1"/>
  <c r="D205" i="5"/>
  <c r="B206" i="5" a="1"/>
  <c r="B206" i="5" s="1"/>
  <c r="E206" i="5" a="1"/>
  <c r="E206" i="5" s="1"/>
  <c r="C206" i="5" a="1"/>
  <c r="C206" i="5" s="1"/>
  <c r="A207" i="5"/>
  <c r="F206" i="5" a="1"/>
  <c r="F206" i="5" l="1"/>
  <c r="D206" i="5" s="1"/>
  <c r="C207" i="5" a="1"/>
  <c r="C207" i="5" s="1"/>
  <c r="A208" i="5"/>
  <c r="E207" i="5" a="1"/>
  <c r="E207" i="5" s="1"/>
  <c r="B207" i="5" a="1"/>
  <c r="B207" i="5" s="1"/>
  <c r="F207" i="5" a="1"/>
  <c r="F207" i="5" l="1"/>
  <c r="D207" i="5" s="1"/>
  <c r="B208" i="5" a="1"/>
  <c r="B208" i="5" s="1"/>
  <c r="C208" i="5" a="1"/>
  <c r="C208" i="5" s="1"/>
  <c r="E208" i="5" a="1"/>
  <c r="E208" i="5" s="1"/>
  <c r="A209" i="5"/>
  <c r="F208" i="5" a="1"/>
  <c r="F208" i="5" l="1"/>
  <c r="C209" i="5" a="1"/>
  <c r="C209" i="5" s="1"/>
  <c r="B209" i="5" a="1"/>
  <c r="B209" i="5" s="1"/>
  <c r="A210" i="5"/>
  <c r="E209" i="5" a="1"/>
  <c r="E209" i="5" s="1"/>
  <c r="D208" i="5"/>
  <c r="F209" i="5" a="1"/>
  <c r="F209" i="5" l="1"/>
  <c r="B210" i="5" a="1"/>
  <c r="B210" i="5" s="1"/>
  <c r="C210" i="5" a="1"/>
  <c r="C210" i="5" s="1"/>
  <c r="A211" i="5"/>
  <c r="E210" i="5" a="1"/>
  <c r="E210" i="5" s="1"/>
  <c r="D209" i="5"/>
  <c r="F210" i="5" a="1"/>
  <c r="F210" i="5" l="1"/>
  <c r="B211" i="5" a="1"/>
  <c r="B211" i="5" s="1"/>
  <c r="C211" i="5" a="1"/>
  <c r="C211" i="5" s="1"/>
  <c r="A212" i="5"/>
  <c r="E211" i="5" a="1"/>
  <c r="E211" i="5" s="1"/>
  <c r="D210" i="5"/>
  <c r="F211" i="5" a="1"/>
  <c r="F211" i="5" l="1"/>
  <c r="E212" i="5" a="1"/>
  <c r="E212" i="5" s="1"/>
  <c r="C212" i="5" a="1"/>
  <c r="C212" i="5" s="1"/>
  <c r="B212" i="5" a="1"/>
  <c r="B212" i="5" s="1"/>
  <c r="A213" i="5"/>
  <c r="D211" i="5"/>
  <c r="F212" i="5" a="1"/>
  <c r="F212" i="5" l="1"/>
  <c r="D212" i="5" s="1"/>
  <c r="B213" i="5" a="1"/>
  <c r="B213" i="5" s="1"/>
  <c r="A214" i="5"/>
  <c r="E213" i="5" a="1"/>
  <c r="E213" i="5" s="1"/>
  <c r="C213" i="5" a="1"/>
  <c r="C213" i="5" s="1"/>
  <c r="F213" i="5" a="1"/>
  <c r="F213" i="5" l="1"/>
  <c r="D213" i="5" s="1"/>
  <c r="B214" i="5" a="1"/>
  <c r="B214" i="5" s="1"/>
  <c r="E214" i="5" a="1"/>
  <c r="E214" i="5" s="1"/>
  <c r="A215" i="5"/>
  <c r="C214" i="5" a="1"/>
  <c r="C214" i="5" s="1"/>
  <c r="F214" i="5" a="1"/>
  <c r="F214" i="5" l="1"/>
  <c r="D214" i="5" s="1"/>
  <c r="C215" i="5" a="1"/>
  <c r="C215" i="5" s="1"/>
  <c r="A216" i="5"/>
  <c r="B215" i="5" a="1"/>
  <c r="B215" i="5" s="1"/>
  <c r="E215" i="5" a="1"/>
  <c r="E215" i="5" s="1"/>
  <c r="F215" i="5" a="1"/>
  <c r="F215" i="5" l="1"/>
  <c r="D215" i="5"/>
  <c r="B216" i="5" a="1"/>
  <c r="B216" i="5" s="1"/>
  <c r="E216" i="5" a="1"/>
  <c r="E216" i="5" s="1"/>
  <c r="A217" i="5"/>
  <c r="C216" i="5" a="1"/>
  <c r="C216" i="5" s="1"/>
  <c r="F216" i="5" a="1"/>
  <c r="F216" i="5" l="1"/>
  <c r="A218" i="5"/>
  <c r="E217" i="5" a="1"/>
  <c r="E217" i="5" s="1"/>
  <c r="B217" i="5" a="1"/>
  <c r="B217" i="5" s="1"/>
  <c r="C217" i="5" a="1"/>
  <c r="C217" i="5" s="1"/>
  <c r="D216" i="5"/>
  <c r="F217" i="5" a="1"/>
  <c r="F217" i="5" l="1"/>
  <c r="B218" i="5" a="1"/>
  <c r="B218" i="5" s="1"/>
  <c r="E218" i="5" a="1"/>
  <c r="E218" i="5" s="1"/>
  <c r="C218" i="5" a="1"/>
  <c r="C218" i="5" s="1"/>
  <c r="A219" i="5"/>
  <c r="D217" i="5"/>
  <c r="F218" i="5" a="1"/>
  <c r="F218" i="5" l="1"/>
  <c r="D218" i="5"/>
  <c r="E219" i="5" a="1"/>
  <c r="E219" i="5" s="1"/>
  <c r="C219" i="5" a="1"/>
  <c r="C219" i="5" s="1"/>
  <c r="B219" i="5" a="1"/>
  <c r="B219" i="5" s="1"/>
  <c r="A220" i="5"/>
  <c r="F219" i="5" a="1"/>
  <c r="F219" i="5" l="1"/>
  <c r="D219" i="5"/>
  <c r="E220" i="5" a="1"/>
  <c r="E220" i="5" s="1"/>
  <c r="C220" i="5" a="1"/>
  <c r="C220" i="5" s="1"/>
  <c r="A221" i="5"/>
  <c r="B220" i="5" a="1"/>
  <c r="B220" i="5" s="1"/>
  <c r="F220" i="5" a="1"/>
  <c r="F220" i="5" l="1"/>
  <c r="D220" i="5"/>
  <c r="E221" i="5" a="1"/>
  <c r="E221" i="5" s="1"/>
  <c r="C221" i="5" a="1"/>
  <c r="C221" i="5" s="1"/>
  <c r="B221" i="5" a="1"/>
  <c r="B221" i="5" s="1"/>
  <c r="A222" i="5"/>
  <c r="F221" i="5" a="1"/>
  <c r="F221" i="5" l="1"/>
  <c r="D221" i="5"/>
  <c r="E222" i="5" a="1"/>
  <c r="E222" i="5" s="1"/>
  <c r="A223" i="5"/>
  <c r="C222" i="5" a="1"/>
  <c r="C222" i="5" s="1"/>
  <c r="B222" i="5" a="1"/>
  <c r="B222" i="5" s="1"/>
  <c r="F222" i="5" a="1"/>
  <c r="F222" i="5" l="1"/>
  <c r="D222" i="5"/>
  <c r="C223" i="5" a="1"/>
  <c r="C223" i="5" s="1"/>
  <c r="A224" i="5"/>
  <c r="E223" i="5" a="1"/>
  <c r="E223" i="5" s="1"/>
  <c r="B223" i="5" a="1"/>
  <c r="B223" i="5" s="1"/>
  <c r="F223" i="5" a="1"/>
  <c r="F223" i="5" l="1"/>
  <c r="C224" i="5" a="1"/>
  <c r="C224" i="5" s="1"/>
  <c r="E224" i="5" a="1"/>
  <c r="E224" i="5" s="1"/>
  <c r="A225" i="5"/>
  <c r="B224" i="5" a="1"/>
  <c r="B224" i="5" s="1"/>
  <c r="D223" i="5"/>
  <c r="F224" i="5" a="1"/>
  <c r="F224" i="5" l="1"/>
  <c r="D224" i="5" s="1"/>
  <c r="A226" i="5"/>
  <c r="B225" i="5" a="1"/>
  <c r="B225" i="5" s="1"/>
  <c r="C225" i="5" a="1"/>
  <c r="C225" i="5" s="1"/>
  <c r="E225" i="5" a="1"/>
  <c r="E225" i="5" s="1"/>
  <c r="F225" i="5" a="1"/>
  <c r="F225" i="5" l="1"/>
  <c r="D225" i="5"/>
  <c r="C226" i="5" a="1"/>
  <c r="C226" i="5" s="1"/>
  <c r="B226" i="5" a="1"/>
  <c r="B226" i="5" s="1"/>
  <c r="A227" i="5"/>
  <c r="E226" i="5" a="1"/>
  <c r="E226" i="5" s="1"/>
  <c r="F226" i="5" a="1"/>
  <c r="F226" i="5" l="1"/>
  <c r="D226" i="5"/>
  <c r="B227" i="5" a="1"/>
  <c r="B227" i="5" s="1"/>
  <c r="E227" i="5" a="1"/>
  <c r="E227" i="5" s="1"/>
  <c r="C227" i="5" a="1"/>
  <c r="C227" i="5" s="1"/>
  <c r="A228" i="5"/>
  <c r="F227" i="5" a="1"/>
  <c r="F227" i="5" l="1"/>
  <c r="D227" i="5"/>
  <c r="A229" i="5"/>
  <c r="C228" i="5" a="1"/>
  <c r="C228" i="5" s="1"/>
  <c r="B228" i="5" a="1"/>
  <c r="B228" i="5" s="1"/>
  <c r="E228" i="5" a="1"/>
  <c r="E228" i="5" s="1"/>
  <c r="F228" i="5" a="1"/>
  <c r="F228" i="5" l="1"/>
  <c r="D228" i="5"/>
  <c r="A230" i="5"/>
  <c r="C229" i="5" a="1"/>
  <c r="C229" i="5" s="1"/>
  <c r="B229" i="5" a="1"/>
  <c r="B229" i="5" s="1"/>
  <c r="E229" i="5" a="1"/>
  <c r="E229" i="5" s="1"/>
  <c r="F229" i="5" a="1"/>
  <c r="F229" i="5" l="1"/>
  <c r="A231" i="5"/>
  <c r="B230" i="5" a="1"/>
  <c r="B230" i="5" s="1"/>
  <c r="E230" i="5" a="1"/>
  <c r="E230" i="5" s="1"/>
  <c r="C230" i="5" a="1"/>
  <c r="C230" i="5" s="1"/>
  <c r="D229" i="5"/>
  <c r="F230" i="5" a="1"/>
  <c r="F230" i="5" l="1"/>
  <c r="D230" i="5"/>
  <c r="A232" i="5"/>
  <c r="B231" i="5" a="1"/>
  <c r="B231" i="5" s="1"/>
  <c r="E231" i="5" a="1"/>
  <c r="E231" i="5" s="1"/>
  <c r="C231" i="5" a="1"/>
  <c r="C231" i="5" s="1"/>
  <c r="F231" i="5" a="1"/>
  <c r="F231" i="5" l="1"/>
  <c r="D231" i="5"/>
  <c r="A233" i="5"/>
  <c r="C232" i="5" a="1"/>
  <c r="C232" i="5" s="1"/>
  <c r="E232" i="5" a="1"/>
  <c r="E232" i="5" s="1"/>
  <c r="B232" i="5" a="1"/>
  <c r="B232" i="5" s="1"/>
  <c r="F232" i="5" a="1"/>
  <c r="F232" i="5" l="1"/>
  <c r="D232" i="5" s="1"/>
  <c r="E233" i="5" a="1"/>
  <c r="E233" i="5" s="1"/>
  <c r="B233" i="5" a="1"/>
  <c r="B233" i="5" s="1"/>
  <c r="C233" i="5" a="1"/>
  <c r="C233" i="5" s="1"/>
  <c r="A234" i="5"/>
  <c r="F233" i="5" a="1"/>
  <c r="F233" i="5" l="1"/>
  <c r="E234" i="5" a="1"/>
  <c r="E234" i="5" s="1"/>
  <c r="A235" i="5"/>
  <c r="B234" i="5" a="1"/>
  <c r="B234" i="5" s="1"/>
  <c r="C234" i="5" a="1"/>
  <c r="C234" i="5" s="1"/>
  <c r="D233" i="5"/>
  <c r="F234" i="5" a="1"/>
  <c r="F234" i="5" l="1"/>
  <c r="D234" i="5" s="1"/>
  <c r="B235" i="5" a="1"/>
  <c r="B235" i="5" s="1"/>
  <c r="E235" i="5" a="1"/>
  <c r="E235" i="5" s="1"/>
  <c r="C235" i="5" a="1"/>
  <c r="C235" i="5" s="1"/>
  <c r="F235" i="5" a="1"/>
  <c r="F235" i="5" l="1"/>
  <c r="D23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<sst xmlns="http://schemas.openxmlformats.org/spreadsheetml/2006/main" count="728" uniqueCount="261">
  <si>
    <t>GA-025 | https://vgmdb.net/album/135059</t>
  </si>
  <si>
    <t>KICA-23 | https://vgmdb.net/album/42415</t>
  </si>
  <si>
    <t>KICA-71 | https://vgmdb.net/album/63864</t>
  </si>
  <si>
    <t>KICA-107 | https://vgmdb.net/album/63866</t>
  </si>
  <si>
    <t>VICL-129 | https://vgmdb.net/album/46791</t>
  </si>
  <si>
    <t>PCCG-00457 | https://vgmdb.net/album/63834</t>
  </si>
  <si>
    <t>PCCG-00201 | https://vgmdb.net/album/59406</t>
  </si>
  <si>
    <t>PCCG-00258 | https://vgmdb.net/album/49777</t>
  </si>
  <si>
    <t>PCCG-00246 | https://vgmdb.net/album/59491</t>
  </si>
  <si>
    <t>PCCG-00556 | https://vgmdb.net/album/16438</t>
  </si>
  <si>
    <t>5236-2 | https://vgmdb.net/album/40100</t>
  </si>
  <si>
    <t>5211-2 | https://vgmdb.net/album/40118</t>
  </si>
  <si>
    <t>KICA-192 | https://vgmdb.net/album/40516</t>
  </si>
  <si>
    <t>KICA-216 | https://vgmdb.net/album/70500</t>
  </si>
  <si>
    <t>KICA-224 | https://vgmdb.net/album/70501</t>
  </si>
  <si>
    <t>ALCA-8148 | https://vgmdb.net/album/81439</t>
  </si>
  <si>
    <t>ALCA-8113 | https://vgmdb.net/album/41799 (LACA-5145)</t>
  </si>
  <si>
    <t>5345-2 | https://vgmdb.net/album/29619</t>
  </si>
  <si>
    <t>GGG-238 | https://vgmdb.net/album/54716</t>
  </si>
  <si>
    <t>VICL-35153 | https://vgmdb.net/album/36655</t>
  </si>
  <si>
    <t>GGG-220 | https://vgmdb.net/album/54712</t>
  </si>
  <si>
    <t>GGG-287 | https://vgmdb.net/album/54714</t>
  </si>
  <si>
    <t>GGG-255 | https://vgmdb.net/album/54724</t>
  </si>
  <si>
    <t>GGG-260 | https://vgmdb.net/album/54721</t>
  </si>
  <si>
    <t>5222-2 | https://vgmdb.net/album/25069</t>
  </si>
  <si>
    <t>FSCA-10087 | https://vgmdb.net/album/21301</t>
  </si>
  <si>
    <t>KICA-521 | https://vgmdb.net/album/71036</t>
  </si>
  <si>
    <t>KICA-538 | https://vgmdb.net/album/58221</t>
  </si>
  <si>
    <t>AVCA-14334 | https://vgmdb.net/album/69975</t>
  </si>
  <si>
    <t>GA-050 | https://vgmdb.net/album/139974</t>
  </si>
  <si>
    <t>AVCT-15002 | https://vgmdb.net/album/71102</t>
  </si>
  <si>
    <t>SRCL-4218 | https://vgmdb.net/album/68706</t>
  </si>
  <si>
    <t>COCC-9247 | https://vgmdb.net/album/32087</t>
  </si>
  <si>
    <t>COCC-9743 | https://vgmdb.net/album/32145</t>
  </si>
  <si>
    <t>COCC-10702 | https://vgmdb.net/album/58936</t>
  </si>
  <si>
    <t>COCC-6830 | https://vgmdb.net/album/31988</t>
  </si>
  <si>
    <t>COCC-7094 | https://vgmdb.net/album/31989</t>
  </si>
  <si>
    <t>COCC-7319 | https://vgmdb.net/album/32007</t>
  </si>
  <si>
    <t>GAME-002 | https://vgmdb.net/album/14528</t>
  </si>
  <si>
    <t>LD32-5102 | https://vgmdb.net/album/71780</t>
  </si>
  <si>
    <t>ES-02 | https://vgmdb.net/album/144021</t>
  </si>
  <si>
    <t>23469 | https://vgmdb.net/album/25984</t>
  </si>
  <si>
    <t>VICL-548 | https://vgmdb.net/album/4733</t>
  </si>
  <si>
    <t>5276-2 | https://vgmdb.net/album/29617</t>
  </si>
  <si>
    <t>5223-2 | https://vgmdb.net/album/43640</t>
  </si>
  <si>
    <t>APCM-5064 | https://vgmdb.net/album/23642</t>
  </si>
  <si>
    <t>AYCM-555 | https://vgmdb.net/album/125334</t>
  </si>
  <si>
    <t>25199 | https://vgmdb.net/album/23883</t>
  </si>
  <si>
    <t>KICA-155 | https://vgmdb.net/album/21607</t>
  </si>
  <si>
    <t>SRCL-5849 | https://vgmdb.net/album/28460</t>
  </si>
  <si>
    <t>WPC6-8132 | https://vgmdb.net/album/66909</t>
  </si>
  <si>
    <t>PCCG-00133 | https://vgmdb.net/album/81080</t>
  </si>
  <si>
    <t>VICL-40077~8 | https://vgmdb.net/album/116855</t>
  </si>
  <si>
    <t>VICL-5302 | https://vgmdb.net/album/128845</t>
  </si>
  <si>
    <t>AVCA-14272 | https://vgmdb.net/album/28806</t>
  </si>
  <si>
    <t>5219-2 | https://vgmdb.net/album/25007</t>
  </si>
  <si>
    <t>5279-2 | https://vgmdb.net/album/25053</t>
  </si>
  <si>
    <t>MACB-6003 | https://vgmdb.net/album/12851</t>
  </si>
  <si>
    <t>RC008 | https://vgmdb.net/album/24565 (30ATC-190)</t>
  </si>
  <si>
    <t>SRCL-3628 | https://vgmdb.net/album/22246</t>
  </si>
  <si>
    <t>GGG-233 | https://vgmdb.net/album/64097</t>
  </si>
  <si>
    <t>LD32-5098 | https://vgmdb.net/album/25162</t>
  </si>
  <si>
    <t>TPCR-1003 | https://vgmdb.net/album/40102</t>
  </si>
  <si>
    <t>KICA-414 | https://vgmdb.net/album/30406</t>
  </si>
  <si>
    <t>KICA-492 | https://vgmdb.net/album/105505</t>
  </si>
  <si>
    <t>GGG-348 | https://vgmdb.net/album/65836</t>
  </si>
  <si>
    <t>VICL-574 | https://vgmdb.net/album/39995</t>
  </si>
  <si>
    <t>POCH-1549 | https://vgmdb.net/album/102179</t>
  </si>
  <si>
    <t>GA-034 | https://vgmdb.net/album/64031</t>
  </si>
  <si>
    <t>POCH-1504 | https://vgmdb.net/album/18729</t>
  </si>
  <si>
    <t>POCX-1087 | https://vgmdb.net/album/22231</t>
  </si>
  <si>
    <t>POCH-1425 | https://vgmdb.net/album/18723</t>
  </si>
  <si>
    <t>POCH-1490 | https://vgmdb.net/album/18726</t>
  </si>
  <si>
    <t>POCH-1505 | https://vgmdb.net/album/18730</t>
  </si>
  <si>
    <t>POCX-1076 | https://vgmdb.net/album/18789</t>
  </si>
  <si>
    <t>POCX-1077 | https://vgmdb.net/album/18790</t>
  </si>
  <si>
    <t>GA-018 | https://vgmdb.net/album/75167</t>
  </si>
  <si>
    <t>GA-045 | https://vgmdb.net/album/75166</t>
  </si>
  <si>
    <t>POCX-1015 | https://vgmdb.net/album/23314</t>
  </si>
  <si>
    <t>POCH-1424 | https://vgmdb.net/album/18720</t>
  </si>
  <si>
    <t>GGG-051 | https://vgmdb.net/album/75162</t>
  </si>
  <si>
    <t>MJCG-80068 | https://vgmdb.net/album/19413</t>
  </si>
  <si>
    <t>COCC-7027 | https://vgmdb.net/album/24916</t>
  </si>
  <si>
    <t>COCC-72271 | https://vgmdb.net/album/51738</t>
  </si>
  <si>
    <t>COCC-7704 | https://vgmdb.net/album/43768</t>
  </si>
  <si>
    <t>H35K-20118 | https://vgmdb.net/album/70059</t>
  </si>
  <si>
    <t>H30K-20116 | https://vgmdb.net/album/64716</t>
  </si>
  <si>
    <t>KTCR-1166 | https://vgmdb.net/album/70060</t>
  </si>
  <si>
    <t>H33K-20076 | https://vgmdb.net/album/64698</t>
  </si>
  <si>
    <t>KTCR-1060 | https://vgmdb.net/album/64685</t>
  </si>
  <si>
    <t>H33K-20030 | https://vgmdb.net/album/57703</t>
  </si>
  <si>
    <t>H00K-20162 | https://vgmdb.net/album/70057</t>
  </si>
  <si>
    <t>H30K-20135 | https://vgmdb.net/album/70058</t>
  </si>
  <si>
    <t>APCM-5080 | https://vgmdb.net/album/70442</t>
  </si>
  <si>
    <t>APCM-5063 | https://vgmdb.net/album/51845</t>
  </si>
  <si>
    <t>KICA-79 | https://vgmdb.net/album/58326</t>
  </si>
  <si>
    <t>VDR-1085 | https://vgmdb.net/album/67876</t>
  </si>
  <si>
    <t>KICA-131 | https://vgmdb.net/album/58372</t>
  </si>
  <si>
    <t>KICA-146 | https://vgmdb.net/album/47947</t>
  </si>
  <si>
    <t>KICA-120 | https://vgmdb.net/album/58363</t>
  </si>
  <si>
    <t>KICA-410 | https://vgmdb.net/album/22376</t>
  </si>
  <si>
    <t>MJCG-80042 | https://vgmdb.net/album/2435</t>
  </si>
  <si>
    <t>TKCA-70134 | https://vgmdb.net/album/24580</t>
  </si>
  <si>
    <t>KICA-300 | https://vgmdb.net/album/19791</t>
  </si>
  <si>
    <t>KICA-286 | https://vgmdb.net/album/19776</t>
  </si>
  <si>
    <t>KICA-290 | https://vgmdb.net/album/19789</t>
  </si>
  <si>
    <t>KICA-378 | https://vgmdb.net/album/22651</t>
  </si>
  <si>
    <t>KICA-370 | https://vgmdb.net/album/19795</t>
  </si>
  <si>
    <t>PICA-1210 | https://vgmdb.net/album/71120</t>
  </si>
  <si>
    <t>TECN-15341 | https://vgmdb.net/album/24556</t>
  </si>
  <si>
    <t>BVCH-1413 | https://vgmdb.net/album/13669</t>
  </si>
  <si>
    <t>KICA-140 | https://vgmdb.net/album/57625</t>
  </si>
  <si>
    <t>KICA-398 | https://vgmdb.net/album/57632</t>
  </si>
  <si>
    <t>KICA-394 | https://vgmdb.net/album/57662</t>
  </si>
  <si>
    <t>MACM-1061 | https://vgmdb.net/album/29044</t>
  </si>
  <si>
    <t>VICL-60183 | https://vgmdb.net/album/19471</t>
  </si>
  <si>
    <t>VPCG-84204 | https://vgmdb.net/album/50335</t>
  </si>
  <si>
    <t>PICA-1045 | https://vgmdb.net/album/21909</t>
  </si>
  <si>
    <t>TKCA-70410 | https://vgmdb.net/album/24622</t>
  </si>
  <si>
    <t>TKCA-30596 | https://vgmdb.net/album/22807</t>
  </si>
  <si>
    <t>TKCA-70946 | https://vgmdb.net/album/19554</t>
  </si>
  <si>
    <t>COCC-10689 | https://vgmdb.net/album/1189</t>
  </si>
  <si>
    <t>PCCG-00195 | https://vgmdb.net/album/49205</t>
  </si>
  <si>
    <t>PCCG-00156 | https://vgmdb.net/album/22788</t>
  </si>
  <si>
    <t>PCCG-00191 | https://vgmdb.net/album/23138</t>
  </si>
  <si>
    <t>PCCG-00327 | https://vgmdb.net/album/110014</t>
  </si>
  <si>
    <t>PCCG-00326 | https://vgmdb.net/album/25375</t>
  </si>
  <si>
    <t>KICS-100 | https://vgmdb.net/album/86608</t>
  </si>
  <si>
    <t>PCCG-00163 | https://vgmdb.net/album/23166</t>
  </si>
  <si>
    <t>PCCG-00186 | https://vgmdb.net/album/23143</t>
  </si>
  <si>
    <t>PCCG-00196 | https://vgmdb.net/album/23163</t>
  </si>
  <si>
    <t>KACD-3004 | https://vgmdb.net/album/23517</t>
  </si>
  <si>
    <t>PCCG-00013 | https://vgmdb.net/album/23513</t>
  </si>
  <si>
    <t>PCCG-00086 | https://vgmdb.net/album/23214</t>
  </si>
  <si>
    <t>CD-RA04 | https://vgmdb.net/album/140332</t>
  </si>
  <si>
    <t>D27G-1003 | https://vgmdb.net/album/23332</t>
  </si>
  <si>
    <t>KTCR-1356 | https://vgmdb.net/album/23906</t>
  </si>
  <si>
    <t>PCCG-00190 | https://vgmdb.net/album/23459</t>
  </si>
  <si>
    <t>KTCR-1269 | https://vgmdb.net/album/22485</t>
  </si>
  <si>
    <t>PCCG-00175 | https://vgmdb.net/album/23516</t>
  </si>
  <si>
    <t>PCCG-00491 | https://vgmdb.net/album/23320</t>
  </si>
  <si>
    <t>292A-7012 | https://vgmdb.net/album/67784</t>
  </si>
  <si>
    <t>292A-7016 | https://vgmdb.net/album/53033</t>
  </si>
  <si>
    <t>KICA-483~4 | https://vgmdb.net/album/66512</t>
  </si>
  <si>
    <t>FMCC-5056 | https://vgmdb.net/album/28537</t>
  </si>
  <si>
    <t>COCC-11777 | https://vgmdb.net/album/26827</t>
  </si>
  <si>
    <t>COCC-10059 | https://vgmdb.net/album/26834</t>
  </si>
  <si>
    <t>COCC-10509 | https://vgmdb.net/album/34393</t>
  </si>
  <si>
    <t>COCC-10838 | https://vgmdb.net/album/26830</t>
  </si>
  <si>
    <t>GA-014 | https://vgmdb.net/album/71763</t>
  </si>
  <si>
    <t>KICA-245 | https://vgmdb.net/album/57565</t>
  </si>
  <si>
    <t>TOCT-6844 | https://vgmdb.net/album/34774</t>
  </si>
  <si>
    <t>TYCY-5151 | https://vgmdb.net/album/22053</t>
  </si>
  <si>
    <t>TYCY-5144 | https://vgmdb.net/album/22119</t>
  </si>
  <si>
    <t>TKCA-71210 | https://vgmdb.net/album/2080</t>
  </si>
  <si>
    <t>NACG-1001 | https://vgmdb.net/album/7978</t>
  </si>
  <si>
    <t>PICA-7002 | https://vgmdb.net/album/59117</t>
  </si>
  <si>
    <t>5197-2 | https://vgmdb.net/album/22042</t>
  </si>
  <si>
    <t>KICA-144 | https://vgmdb.net/album/48415</t>
  </si>
  <si>
    <t>KICA-174 | https://vgmdb.net/album/83779</t>
  </si>
  <si>
    <t>SXCR-607 | https://vgmdb.net/album/91977</t>
  </si>
  <si>
    <t>VICL-304 | https://vgmdb.net/album/41617</t>
  </si>
  <si>
    <t>KTCR-1084 | https://vgmdb.net/album/36150</t>
  </si>
  <si>
    <t>AYCM-612 | https://vgmdb.net/album/39775</t>
  </si>
  <si>
    <t>KICA-265 | https://vgmdb.net/album/47324</t>
  </si>
  <si>
    <t>KICA-318 | https://vgmdb.net/album/48487</t>
  </si>
  <si>
    <t>KICA-380 | https://vgmdb.net/album/48144</t>
  </si>
  <si>
    <t>EPCE-5047 | https://vgmdb.net/album/44505</t>
  </si>
  <si>
    <t>TKCA-72166 | https://vgmdb.net/album/25456</t>
  </si>
  <si>
    <t>KICA-469 | https://vgmdb.net/album/23526</t>
  </si>
  <si>
    <t>KICA-474 | https://vgmdb.net/album/23528</t>
  </si>
  <si>
    <t>KICA-478 | https://vgmdb.net/album/23529</t>
  </si>
  <si>
    <t>32ATC-135 | https://vgmdb.net/album/142978</t>
  </si>
  <si>
    <t>COCX-32271 | https://vgmdb.net/album/24112</t>
  </si>
  <si>
    <t>LACA-5066 | https://vgmdb.net/album/67193</t>
  </si>
  <si>
    <t>PICA-1134 | https://vgmdb.net/album/58888</t>
  </si>
  <si>
    <t>PICA-1097 | https://vgmdb.net/album/24850</t>
  </si>
  <si>
    <t>PICA-1018 | https://vgmdb.net/album/46876</t>
  </si>
  <si>
    <t>PICA-1043 | https://vgmdb.net/album/37870</t>
  </si>
  <si>
    <t>TKCA-72367 | https://vgmdb.net/album/28593</t>
  </si>
  <si>
    <t xml:space="preserve">PCCG-00106 | https://vgmdb.net/album/26081 </t>
  </si>
  <si>
    <t>KICA-7710 | https://vgmdb.net/album/4796</t>
  </si>
  <si>
    <t>KICA-7639 | https://vgmdb.net/album/2017</t>
  </si>
  <si>
    <t>COCC-11170 | https://vgmdb.net/album/15272</t>
  </si>
  <si>
    <t>COCC-11065 | https://vgmdb.net/album/40527</t>
  </si>
  <si>
    <t>D32G-0031 | https://vgmdb.net/album/28603</t>
  </si>
  <si>
    <t>COCC-11078 | https://vgmdb.net/album/59990</t>
  </si>
  <si>
    <t>H33K-20063 | https://vgmdb.net/album/100502</t>
  </si>
  <si>
    <t>H33K-20005 | https://vgmdb.net/album/78537</t>
  </si>
  <si>
    <t>KTCR-1297 | https://vgmdb.net/album/57606</t>
  </si>
  <si>
    <t>KTCR-1246 | https://vgmdb.net/album/80296</t>
  </si>
  <si>
    <t>PCCG-00147 | https://vgmdb.net/album/66426</t>
  </si>
  <si>
    <t>PCCG-00146 | https://vgmdb.net/album/51376</t>
  </si>
  <si>
    <t>H55K-20010~1 | https://vgmdb.net/album/62149</t>
  </si>
  <si>
    <t>KTCR-1088 | https://vgmdb.net/album/67401</t>
  </si>
  <si>
    <t>H33K-20029 | https://vgmdb.net/album/67006</t>
  </si>
  <si>
    <t>KTCR-1089 | https://vgmdb.net/album/66557</t>
  </si>
  <si>
    <t>KTCR-1087 | https://vgmdb.net/album/66433</t>
  </si>
  <si>
    <t>H30K-20027 | https://vgmdb.net/album/67646</t>
  </si>
  <si>
    <t>H30K-20024 | https://vgmdb.net/album/48126</t>
  </si>
  <si>
    <t>KTCR-1097~8 | https://vgmdb.net/album/61944</t>
  </si>
  <si>
    <t>H30K-20025 | https://vgmdb.net/album/67947</t>
  </si>
  <si>
    <t>H30K-20026 | https://vgmdb.net/album/100511</t>
  </si>
  <si>
    <t>H30K-20115 | https://vgmdb.net/album/57710</t>
  </si>
  <si>
    <t>H42K-20119~20 | https://vgmdb.net/album/80270</t>
  </si>
  <si>
    <t>H30K-20023 | https://vgmdb.net/album/57978</t>
  </si>
  <si>
    <t>KTCR-1131 | https://vgmdb.net/album/125213</t>
  </si>
  <si>
    <t>PCCG-00144 | https://vgmdb.net/album/66810</t>
  </si>
  <si>
    <t>SM-217 | https://vgmdb.net/album/112521 (TKCA-30734)</t>
  </si>
  <si>
    <t>VICL-281 | https://vgmdb.net/album/22825</t>
  </si>
  <si>
    <t>VICL-60135 | https://vgmdb.net/album/58113</t>
  </si>
  <si>
    <t>VICL-61082 | https://vgmdb.net/album/19107</t>
  </si>
  <si>
    <t>MICA-0480 | https://vgmdb.net/album/33822 (SVWC-7243)</t>
  </si>
  <si>
    <t>MICA-0583 | https://vgmdb.net/album/33869</t>
  </si>
  <si>
    <t>GNCA-1042 | https://vgmdb.net/album/31148</t>
  </si>
  <si>
    <t>VICL-608 | https://vgmdb.net/album/47147</t>
  </si>
  <si>
    <t>GGG-015 | https://vgmdb.net/album/75307</t>
  </si>
  <si>
    <t>VICL-2138 | https://vgmdb.net/album/47801</t>
  </si>
  <si>
    <t>TYCY-5219 | https://vgmdb.net/album/44988</t>
  </si>
  <si>
    <t>DONE</t>
  </si>
  <si>
    <t>after putting the information into Albums, run:</t>
  </si>
  <si>
    <t>Sub MakeVGMdbFile()</t>
  </si>
  <si>
    <t>&lt;alt&gt;&lt;F11&gt;</t>
  </si>
  <si>
    <t>PCCG-00487 | https://vgmdb.net/album/63644</t>
  </si>
  <si>
    <t>KICA-305 | https://vgmdb.net/album/44593</t>
  </si>
  <si>
    <t>PCCB-00312 | https://vgmdb.net/album/3507</t>
  </si>
  <si>
    <t>SM-303 | https://vgmdb.net/album/79331 (VICL-486)</t>
  </si>
  <si>
    <t>(file line with the CD#)</t>
  </si>
  <si>
    <t>COCC-15190~1 | https://vgmdb.net/album/69773</t>
  </si>
  <si>
    <t>ES-01 | https://vgmdb.net/album/19659 (VICL-769)</t>
  </si>
  <si>
    <t>SM-233 | https://vgmdb.net/album/129427 (KACD-1016)</t>
  </si>
  <si>
    <t>GM-430 | https://vgmdb.net/album/2434 (MJCG-80043)</t>
  </si>
  <si>
    <t>SM-387 | https://vgmdb.net/album/150707 (PCCA-00695)</t>
  </si>
  <si>
    <t>SM-291~292 | https://vgmdb.net/album/57653 (KICA-203~4)</t>
  </si>
  <si>
    <t>SM-20 | https://vgmdb.net/album/19263 (TKCA-30331)</t>
  </si>
  <si>
    <t>KICA-454~5 | https://vgmdb.net/album/34012</t>
  </si>
  <si>
    <t>SM-067 | https://vgmdb.net/album/27415 (VICL-181)</t>
  </si>
  <si>
    <t>KACD-0028~9 | https://vgmdb.net/album/125767</t>
  </si>
  <si>
    <t>paste below</t>
  </si>
  <si>
    <t>Line test</t>
  </si>
  <si>
    <t>in Foobar2000, choose filter "import tracks from VGMdb"</t>
  </si>
  <si>
    <t>click on a track, press &lt;Ctrl&gt; A</t>
  </si>
  <si>
    <t>right click on any track, select Utilities -&gt; Text Tools -&gt; VGMdb address</t>
  </si>
  <si>
    <t>COCX-31205 | https://vgmdb.net/album/155083</t>
  </si>
  <si>
    <t>make sure the formulas in column B go all the way to the bottom of column A</t>
  </si>
  <si>
    <t>Create  filter and deselect DONE in column B</t>
  </si>
  <si>
    <t>In tha albums tab, make sure there is space to paste the unfiltered rows</t>
  </si>
  <si>
    <t>copy and paste values of the unfiitered album lines to the bottom of the albums list in the Albums tab, column F</t>
  </si>
  <si>
    <t>To make sure the right VGMdb album is beiing used, go to TestVGMdbURL tab</t>
  </si>
  <si>
    <t>copy the formulas at the bottom of the list to enough new rows to cover all new albums</t>
  </si>
  <si>
    <t>If Column D is #VALUE, ensure the correct original album is being retrieved</t>
  </si>
  <si>
    <t>Open a COMMAND window</t>
  </si>
  <si>
    <t>Enter J:</t>
  </si>
  <si>
    <t>Enter CD J:\GitHub\VGMdb</t>
  </si>
  <si>
    <t>Enter python VGMdbImport.py --limit=n (where n processes only  the first n CDs it finds)</t>
  </si>
  <si>
    <t>Enter python VGMdbImport.py (processes all albums)</t>
  </si>
  <si>
    <t>when all is correct, run the Python script to copy the titles from the source into the flac files.</t>
  </si>
  <si>
    <t>paste the result into this worksheet's tab AddlVGMdbExtract</t>
  </si>
  <si>
    <t xml:space="preserve">   matching the CD number after the URL</t>
  </si>
  <si>
    <t>-OR-</t>
  </si>
  <si>
    <t>copy the formulas to the left of the new album names EXCEPT FOR THE DONE 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</si>
</sst>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quotePrefix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A6C07-4A55-43AD-BAA8-71F413B69EEF}">
  <sheetPr codeName="Sheet1"/>
  <dimension ref="A1"/>
  <sheetViews>
    <sheetView topLeftCell="A6" workbookViewId="0"/>
  </sheetViews>
  <sheetFormatPr defaultRowHeight="14.75" x14ac:dyDescent="0.7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FD789-53B0-4BA6-ABAB-FD51E798AB4E}">
  <sheetPr codeName="Sheet2"/>
  <dimension ref="A1:A1087"/>
  <sheetViews>
    <sheetView workbookViewId="0"/>
  </sheetViews>
  <sheetFormatPr defaultRowHeight="14.75" x14ac:dyDescent="0.75"/>
  <cols>
    <col min="1" max="1" width="80.7265625" bestFit="1" customWidth="1"/>
  </cols>
  <sheetData>
    <row r="1" spans="1:1" x14ac:dyDescent="0.75">
      <c r="A1" t="s">
        <v>240</v>
      </c>
    </row>
    <row r="2" spans="1:1" x14ac:dyDescent="0.75">
      <c r="A2" t="s">
        <v>241</v>
      </c>
    </row>
    <row r="3" spans="1:1" x14ac:dyDescent="0.75">
      <c r="A3" t="s">
        <v>242</v>
      </c>
    </row>
    <row r="4" spans="1:1" x14ac:dyDescent="0.75">
      <c r="A4" t="s">
        <v>257</v>
      </c>
    </row>
    <row r="5" spans="1:1" x14ac:dyDescent="0.75">
      <c r="A5" t="s">
        <v>244</v>
      </c>
    </row>
    <row r="6" spans="1:1" x14ac:dyDescent="0.75">
      <c r="A6" t="s">
        <v>245</v>
      </c>
    </row>
    <row r="7" spans="1:1" x14ac:dyDescent="0.75">
      <c r="A7" t="s">
        <v>246</v>
      </c>
    </row>
    <row r="8" spans="1:1" x14ac:dyDescent="0.75">
      <c r="A8" t="s">
        <v>247</v>
      </c>
    </row>
    <row r="9" spans="1:1" x14ac:dyDescent="0.75">
      <c r="A9" t="s">
        <v>260</v>
      </c>
    </row>
    <row r="12" spans="1:1" x14ac:dyDescent="0.75">
      <c r="A12" s="1" t="s">
        <v>220</v>
      </c>
    </row>
    <row r="13" spans="1:1" x14ac:dyDescent="0.75">
      <c r="A13" s="1" t="s">
        <v>222</v>
      </c>
    </row>
    <row r="14" spans="1:1" x14ac:dyDescent="0.75">
      <c r="A14" s="1" t="s">
        <v>221</v>
      </c>
    </row>
    <row r="15" spans="1:1" x14ac:dyDescent="0.75">
      <c r="A15" s="1"/>
    </row>
    <row r="16" spans="1:1" x14ac:dyDescent="0.75">
      <c r="A16" s="1" t="s">
        <v>248</v>
      </c>
    </row>
    <row r="17" spans="1:1" x14ac:dyDescent="0.75">
      <c r="A17" s="1" t="s">
        <v>249</v>
      </c>
    </row>
    <row r="18" spans="1:1" x14ac:dyDescent="0.75">
      <c r="A18" s="1" t="s">
        <v>250</v>
      </c>
    </row>
    <row r="19" spans="1:1" x14ac:dyDescent="0.75">
      <c r="A19" s="1" t="s">
        <v>258</v>
      </c>
    </row>
    <row r="20" spans="1:1" x14ac:dyDescent="0.75">
      <c r="A20" s="1"/>
    </row>
    <row r="21" spans="1:1" x14ac:dyDescent="0.75">
      <c r="A21" s="1" t="s">
        <v>256</v>
      </c>
    </row>
    <row r="22" spans="1:1" x14ac:dyDescent="0.75">
      <c r="A22" s="1" t="s">
        <v>251</v>
      </c>
    </row>
    <row r="23" spans="1:1" x14ac:dyDescent="0.75">
      <c r="A23" s="1" t="s">
        <v>252</v>
      </c>
    </row>
    <row r="24" spans="1:1" x14ac:dyDescent="0.75">
      <c r="A24" s="1" t="s">
        <v>253</v>
      </c>
    </row>
    <row r="25" spans="1:1" x14ac:dyDescent="0.75">
      <c r="A25" s="1" t="s">
        <v>254</v>
      </c>
    </row>
    <row r="26" spans="1:1" x14ac:dyDescent="0.75">
      <c r="A26" s="4" t="s">
        <v>259</v>
      </c>
    </row>
    <row r="27" spans="1:1" x14ac:dyDescent="0.75">
      <c r="A27" s="1" t="s">
        <v>255</v>
      </c>
    </row>
    <row r="28" spans="1:1" x14ac:dyDescent="0.75">
      <c r="A28" s="1"/>
    </row>
    <row r="29" spans="1:1" x14ac:dyDescent="0.75">
      <c r="A29" s="1"/>
    </row>
    <row r="30" spans="1:1" x14ac:dyDescent="0.75">
      <c r="A30" s="1"/>
    </row>
    <row r="31" spans="1:1" x14ac:dyDescent="0.75">
      <c r="A31" s="1"/>
    </row>
    <row r="32" spans="1:1" x14ac:dyDescent="0.75">
      <c r="A32" s="1"/>
    </row>
    <row r="33" spans="1:1" x14ac:dyDescent="0.75">
      <c r="A33" s="1"/>
    </row>
    <row r="34" spans="1:1" x14ac:dyDescent="0.75">
      <c r="A34" s="1"/>
    </row>
    <row r="35" spans="1:1" x14ac:dyDescent="0.75">
      <c r="A35" s="1"/>
    </row>
    <row r="36" spans="1:1" x14ac:dyDescent="0.75">
      <c r="A36" s="1"/>
    </row>
    <row r="37" spans="1:1" x14ac:dyDescent="0.75">
      <c r="A37" s="1"/>
    </row>
    <row r="38" spans="1:1" x14ac:dyDescent="0.75">
      <c r="A38" s="1"/>
    </row>
    <row r="39" spans="1:1" x14ac:dyDescent="0.75">
      <c r="A39" s="1"/>
    </row>
    <row r="40" spans="1:1" x14ac:dyDescent="0.75">
      <c r="A40" s="1"/>
    </row>
    <row r="41" spans="1:1" x14ac:dyDescent="0.75">
      <c r="A41" s="1"/>
    </row>
    <row r="42" spans="1:1" x14ac:dyDescent="0.75">
      <c r="A42" s="1"/>
    </row>
    <row r="43" spans="1:1" x14ac:dyDescent="0.75">
      <c r="A43" s="2"/>
    </row>
    <row r="44" spans="1:1" x14ac:dyDescent="0.75">
      <c r="A44" s="1"/>
    </row>
    <row r="45" spans="1:1" x14ac:dyDescent="0.75">
      <c r="A45" s="1"/>
    </row>
    <row r="46" spans="1:1" x14ac:dyDescent="0.75">
      <c r="A46" s="2"/>
    </row>
    <row r="47" spans="1:1" x14ac:dyDescent="0.75">
      <c r="A47" s="2"/>
    </row>
    <row r="48" spans="1:1" x14ac:dyDescent="0.75">
      <c r="A48" s="2"/>
    </row>
    <row r="49" spans="1:1" x14ac:dyDescent="0.75">
      <c r="A49" s="2"/>
    </row>
    <row r="50" spans="1:1" x14ac:dyDescent="0.75">
      <c r="A50" s="2"/>
    </row>
    <row r="51" spans="1:1" x14ac:dyDescent="0.75">
      <c r="A51" s="1"/>
    </row>
    <row r="52" spans="1:1" x14ac:dyDescent="0.75">
      <c r="A52" s="1"/>
    </row>
    <row r="53" spans="1:1" x14ac:dyDescent="0.75">
      <c r="A53" s="2"/>
    </row>
    <row r="54" spans="1:1" x14ac:dyDescent="0.75">
      <c r="A54" s="2"/>
    </row>
    <row r="55" spans="1:1" x14ac:dyDescent="0.75">
      <c r="A55" s="1"/>
    </row>
    <row r="56" spans="1:1" x14ac:dyDescent="0.75">
      <c r="A56" s="1"/>
    </row>
    <row r="57" spans="1:1" x14ac:dyDescent="0.75">
      <c r="A57" s="1"/>
    </row>
    <row r="58" spans="1:1" x14ac:dyDescent="0.75">
      <c r="A58" s="1"/>
    </row>
    <row r="59" spans="1:1" x14ac:dyDescent="0.75">
      <c r="A59" s="1"/>
    </row>
    <row r="60" spans="1:1" x14ac:dyDescent="0.75">
      <c r="A60" s="1"/>
    </row>
    <row r="61" spans="1:1" x14ac:dyDescent="0.75">
      <c r="A61" s="1"/>
    </row>
    <row r="62" spans="1:1" x14ac:dyDescent="0.75">
      <c r="A62" s="1"/>
    </row>
    <row r="63" spans="1:1" x14ac:dyDescent="0.75">
      <c r="A63" s="2"/>
    </row>
    <row r="64" spans="1:1" x14ac:dyDescent="0.75">
      <c r="A64" s="2"/>
    </row>
    <row r="65" spans="1:1" x14ac:dyDescent="0.75">
      <c r="A65" s="2"/>
    </row>
    <row r="66" spans="1:1" x14ac:dyDescent="0.75">
      <c r="A66" s="1"/>
    </row>
    <row r="67" spans="1:1" x14ac:dyDescent="0.75">
      <c r="A67" s="2"/>
    </row>
    <row r="68" spans="1:1" x14ac:dyDescent="0.75">
      <c r="A68" s="2"/>
    </row>
    <row r="69" spans="1:1" x14ac:dyDescent="0.75">
      <c r="A69" s="2"/>
    </row>
    <row r="70" spans="1:1" x14ac:dyDescent="0.75">
      <c r="A70" s="2"/>
    </row>
    <row r="71" spans="1:1" x14ac:dyDescent="0.75">
      <c r="A71" s="2"/>
    </row>
    <row r="72" spans="1:1" x14ac:dyDescent="0.75">
      <c r="A72" s="2"/>
    </row>
    <row r="73" spans="1:1" x14ac:dyDescent="0.75">
      <c r="A73" s="2"/>
    </row>
    <row r="74" spans="1:1" x14ac:dyDescent="0.75">
      <c r="A74" s="2"/>
    </row>
    <row r="75" spans="1:1" x14ac:dyDescent="0.75">
      <c r="A75" s="1"/>
    </row>
    <row r="76" spans="1:1" x14ac:dyDescent="0.75">
      <c r="A76" s="1"/>
    </row>
    <row r="77" spans="1:1" x14ac:dyDescent="0.75">
      <c r="A77" s="1"/>
    </row>
    <row r="78" spans="1:1" x14ac:dyDescent="0.75">
      <c r="A78" s="1"/>
    </row>
    <row r="79" spans="1:1" x14ac:dyDescent="0.75">
      <c r="A79" s="1"/>
    </row>
    <row r="80" spans="1:1" x14ac:dyDescent="0.75">
      <c r="A80" s="1"/>
    </row>
    <row r="81" spans="1:1" x14ac:dyDescent="0.75">
      <c r="A81" s="1"/>
    </row>
    <row r="82" spans="1:1" x14ac:dyDescent="0.75">
      <c r="A82" s="1"/>
    </row>
    <row r="83" spans="1:1" x14ac:dyDescent="0.75">
      <c r="A83" s="1"/>
    </row>
    <row r="84" spans="1:1" x14ac:dyDescent="0.75">
      <c r="A84" s="1"/>
    </row>
    <row r="85" spans="1:1" x14ac:dyDescent="0.75">
      <c r="A85" s="1"/>
    </row>
    <row r="86" spans="1:1" x14ac:dyDescent="0.75">
      <c r="A86" s="1"/>
    </row>
    <row r="87" spans="1:1" x14ac:dyDescent="0.75">
      <c r="A87" s="1"/>
    </row>
    <row r="88" spans="1:1" x14ac:dyDescent="0.75">
      <c r="A88" s="1"/>
    </row>
    <row r="89" spans="1:1" x14ac:dyDescent="0.75">
      <c r="A89" s="1"/>
    </row>
    <row r="90" spans="1:1" x14ac:dyDescent="0.75">
      <c r="A90" s="1"/>
    </row>
    <row r="91" spans="1:1" x14ac:dyDescent="0.75">
      <c r="A91" s="1"/>
    </row>
    <row r="92" spans="1:1" x14ac:dyDescent="0.75">
      <c r="A92" s="1"/>
    </row>
    <row r="93" spans="1:1" x14ac:dyDescent="0.75">
      <c r="A93" s="1"/>
    </row>
    <row r="94" spans="1:1" x14ac:dyDescent="0.75">
      <c r="A94" s="1"/>
    </row>
    <row r="95" spans="1:1" x14ac:dyDescent="0.75">
      <c r="A95" s="1"/>
    </row>
    <row r="96" spans="1:1" x14ac:dyDescent="0.75">
      <c r="A96" s="1"/>
    </row>
    <row r="97" spans="1:1" x14ac:dyDescent="0.75">
      <c r="A97" s="1"/>
    </row>
    <row r="98" spans="1:1" x14ac:dyDescent="0.75">
      <c r="A98" s="1"/>
    </row>
    <row r="99" spans="1:1" x14ac:dyDescent="0.75">
      <c r="A99" s="1"/>
    </row>
    <row r="100" spans="1:1" x14ac:dyDescent="0.75">
      <c r="A100" s="1"/>
    </row>
    <row r="101" spans="1:1" x14ac:dyDescent="0.75">
      <c r="A101" s="1"/>
    </row>
    <row r="102" spans="1:1" x14ac:dyDescent="0.75">
      <c r="A102" s="1"/>
    </row>
    <row r="103" spans="1:1" x14ac:dyDescent="0.75">
      <c r="A103" s="1"/>
    </row>
    <row r="104" spans="1:1" x14ac:dyDescent="0.75">
      <c r="A104" s="1"/>
    </row>
    <row r="105" spans="1:1" x14ac:dyDescent="0.75">
      <c r="A105" s="1"/>
    </row>
    <row r="106" spans="1:1" x14ac:dyDescent="0.75">
      <c r="A106" s="1"/>
    </row>
    <row r="107" spans="1:1" x14ac:dyDescent="0.75">
      <c r="A107" s="1"/>
    </row>
    <row r="108" spans="1:1" x14ac:dyDescent="0.75">
      <c r="A108" s="1"/>
    </row>
    <row r="109" spans="1:1" x14ac:dyDescent="0.75">
      <c r="A109" s="1"/>
    </row>
    <row r="110" spans="1:1" x14ac:dyDescent="0.75">
      <c r="A110" s="1"/>
    </row>
    <row r="111" spans="1:1" x14ac:dyDescent="0.75">
      <c r="A111" s="1"/>
    </row>
    <row r="112" spans="1:1" x14ac:dyDescent="0.75">
      <c r="A112" s="1"/>
    </row>
    <row r="113" spans="1:1" x14ac:dyDescent="0.75">
      <c r="A113" s="1"/>
    </row>
    <row r="114" spans="1:1" x14ac:dyDescent="0.75">
      <c r="A114" s="1"/>
    </row>
    <row r="115" spans="1:1" x14ac:dyDescent="0.75">
      <c r="A115" s="1"/>
    </row>
    <row r="116" spans="1:1" x14ac:dyDescent="0.75">
      <c r="A116" s="1"/>
    </row>
    <row r="117" spans="1:1" x14ac:dyDescent="0.75">
      <c r="A117" s="1"/>
    </row>
    <row r="118" spans="1:1" x14ac:dyDescent="0.75">
      <c r="A118" s="1"/>
    </row>
    <row r="119" spans="1:1" x14ac:dyDescent="0.75">
      <c r="A119" s="1"/>
    </row>
    <row r="120" spans="1:1" x14ac:dyDescent="0.75">
      <c r="A120" s="1"/>
    </row>
    <row r="121" spans="1:1" x14ac:dyDescent="0.75">
      <c r="A121" s="1"/>
    </row>
    <row r="122" spans="1:1" x14ac:dyDescent="0.75">
      <c r="A122" s="1"/>
    </row>
    <row r="123" spans="1:1" x14ac:dyDescent="0.75">
      <c r="A123" s="1"/>
    </row>
    <row r="124" spans="1:1" x14ac:dyDescent="0.75">
      <c r="A124" s="1"/>
    </row>
    <row r="125" spans="1:1" x14ac:dyDescent="0.75">
      <c r="A125" s="1"/>
    </row>
    <row r="126" spans="1:1" x14ac:dyDescent="0.75">
      <c r="A126" s="1"/>
    </row>
    <row r="127" spans="1:1" x14ac:dyDescent="0.75">
      <c r="A127" s="1"/>
    </row>
    <row r="128" spans="1:1" x14ac:dyDescent="0.75">
      <c r="A128" s="1"/>
    </row>
    <row r="129" spans="1:1" x14ac:dyDescent="0.75">
      <c r="A129" s="1"/>
    </row>
    <row r="130" spans="1:1" x14ac:dyDescent="0.75">
      <c r="A130" s="1"/>
    </row>
    <row r="131" spans="1:1" x14ac:dyDescent="0.75">
      <c r="A131" s="1"/>
    </row>
    <row r="132" spans="1:1" x14ac:dyDescent="0.75">
      <c r="A132" s="1"/>
    </row>
    <row r="133" spans="1:1" x14ac:dyDescent="0.75">
      <c r="A133" s="1"/>
    </row>
    <row r="134" spans="1:1" x14ac:dyDescent="0.75">
      <c r="A134" s="1"/>
    </row>
    <row r="135" spans="1:1" x14ac:dyDescent="0.75">
      <c r="A135" s="1"/>
    </row>
    <row r="136" spans="1:1" x14ac:dyDescent="0.75">
      <c r="A136" s="1"/>
    </row>
    <row r="137" spans="1:1" x14ac:dyDescent="0.75">
      <c r="A137" s="2"/>
    </row>
    <row r="138" spans="1:1" x14ac:dyDescent="0.75">
      <c r="A138" s="1"/>
    </row>
    <row r="139" spans="1:1" x14ac:dyDescent="0.75">
      <c r="A139" s="1"/>
    </row>
    <row r="140" spans="1:1" x14ac:dyDescent="0.75">
      <c r="A140" s="1"/>
    </row>
    <row r="141" spans="1:1" x14ac:dyDescent="0.75">
      <c r="A141" s="1"/>
    </row>
    <row r="142" spans="1:1" x14ac:dyDescent="0.75">
      <c r="A142" s="1"/>
    </row>
    <row r="143" spans="1:1" x14ac:dyDescent="0.75">
      <c r="A143" s="1"/>
    </row>
    <row r="144" spans="1:1" x14ac:dyDescent="0.75">
      <c r="A144" s="1"/>
    </row>
    <row r="145" spans="1:1" x14ac:dyDescent="0.75">
      <c r="A145" s="1"/>
    </row>
    <row r="146" spans="1:1" x14ac:dyDescent="0.75">
      <c r="A146" s="1"/>
    </row>
    <row r="147" spans="1:1" x14ac:dyDescent="0.75">
      <c r="A147" s="1"/>
    </row>
    <row r="148" spans="1:1" x14ac:dyDescent="0.75">
      <c r="A148" s="1"/>
    </row>
    <row r="149" spans="1:1" x14ac:dyDescent="0.75">
      <c r="A149" s="1"/>
    </row>
    <row r="150" spans="1:1" x14ac:dyDescent="0.75">
      <c r="A150" s="1"/>
    </row>
    <row r="151" spans="1:1" x14ac:dyDescent="0.75">
      <c r="A151" s="1"/>
    </row>
    <row r="152" spans="1:1" x14ac:dyDescent="0.75">
      <c r="A152" s="1"/>
    </row>
    <row r="153" spans="1:1" x14ac:dyDescent="0.75">
      <c r="A153" s="1"/>
    </row>
    <row r="154" spans="1:1" x14ac:dyDescent="0.75">
      <c r="A154" s="1"/>
    </row>
    <row r="155" spans="1:1" x14ac:dyDescent="0.75">
      <c r="A155" s="1"/>
    </row>
    <row r="156" spans="1:1" x14ac:dyDescent="0.75">
      <c r="A156" s="1"/>
    </row>
    <row r="157" spans="1:1" x14ac:dyDescent="0.75">
      <c r="A157" s="1"/>
    </row>
    <row r="158" spans="1:1" x14ac:dyDescent="0.75">
      <c r="A158" s="1"/>
    </row>
    <row r="159" spans="1:1" x14ac:dyDescent="0.75">
      <c r="A159" s="1"/>
    </row>
    <row r="160" spans="1:1" x14ac:dyDescent="0.75">
      <c r="A160" s="1"/>
    </row>
    <row r="161" spans="1:1" x14ac:dyDescent="0.75">
      <c r="A161" s="1"/>
    </row>
    <row r="162" spans="1:1" x14ac:dyDescent="0.75">
      <c r="A162" s="1"/>
    </row>
    <row r="163" spans="1:1" x14ac:dyDescent="0.75">
      <c r="A163" s="1"/>
    </row>
    <row r="164" spans="1:1" x14ac:dyDescent="0.75">
      <c r="A164" s="1"/>
    </row>
    <row r="165" spans="1:1" x14ac:dyDescent="0.75">
      <c r="A165" s="1"/>
    </row>
    <row r="166" spans="1:1" x14ac:dyDescent="0.75">
      <c r="A166" s="1"/>
    </row>
    <row r="167" spans="1:1" x14ac:dyDescent="0.75">
      <c r="A167" s="1"/>
    </row>
    <row r="168" spans="1:1" x14ac:dyDescent="0.75">
      <c r="A168" s="1"/>
    </row>
    <row r="169" spans="1:1" x14ac:dyDescent="0.75">
      <c r="A169" s="1"/>
    </row>
    <row r="170" spans="1:1" x14ac:dyDescent="0.75">
      <c r="A170" s="1"/>
    </row>
    <row r="171" spans="1:1" x14ac:dyDescent="0.75">
      <c r="A171" s="1"/>
    </row>
    <row r="172" spans="1:1" x14ac:dyDescent="0.75">
      <c r="A172" s="1"/>
    </row>
    <row r="173" spans="1:1" x14ac:dyDescent="0.75">
      <c r="A173" s="1"/>
    </row>
    <row r="174" spans="1:1" x14ac:dyDescent="0.75">
      <c r="A174" s="1"/>
    </row>
    <row r="175" spans="1:1" x14ac:dyDescent="0.75">
      <c r="A175" s="1"/>
    </row>
    <row r="176" spans="1:1" x14ac:dyDescent="0.75">
      <c r="A176" s="1"/>
    </row>
    <row r="177" spans="1:1" x14ac:dyDescent="0.75">
      <c r="A177" s="1"/>
    </row>
    <row r="178" spans="1:1" x14ac:dyDescent="0.75">
      <c r="A178" s="1"/>
    </row>
    <row r="179" spans="1:1" x14ac:dyDescent="0.75">
      <c r="A179" s="1"/>
    </row>
    <row r="180" spans="1:1" x14ac:dyDescent="0.75">
      <c r="A180" s="1"/>
    </row>
    <row r="181" spans="1:1" x14ac:dyDescent="0.75">
      <c r="A181" s="1"/>
    </row>
    <row r="182" spans="1:1" x14ac:dyDescent="0.75">
      <c r="A182" s="1"/>
    </row>
    <row r="183" spans="1:1" x14ac:dyDescent="0.75">
      <c r="A183" s="1"/>
    </row>
    <row r="184" spans="1:1" x14ac:dyDescent="0.75">
      <c r="A184" s="1"/>
    </row>
    <row r="185" spans="1:1" x14ac:dyDescent="0.75">
      <c r="A185" s="1"/>
    </row>
    <row r="186" spans="1:1" x14ac:dyDescent="0.75">
      <c r="A186" s="1"/>
    </row>
    <row r="187" spans="1:1" x14ac:dyDescent="0.75">
      <c r="A187" s="1"/>
    </row>
    <row r="188" spans="1:1" x14ac:dyDescent="0.75">
      <c r="A188" s="1"/>
    </row>
    <row r="189" spans="1:1" x14ac:dyDescent="0.75">
      <c r="A189" s="1"/>
    </row>
    <row r="190" spans="1:1" x14ac:dyDescent="0.75">
      <c r="A190" s="1"/>
    </row>
    <row r="191" spans="1:1" x14ac:dyDescent="0.75">
      <c r="A191" s="1"/>
    </row>
    <row r="192" spans="1:1" x14ac:dyDescent="0.75">
      <c r="A192" s="1"/>
    </row>
    <row r="193" spans="1:1" x14ac:dyDescent="0.75">
      <c r="A193" s="1"/>
    </row>
    <row r="194" spans="1:1" x14ac:dyDescent="0.75">
      <c r="A194" s="1"/>
    </row>
    <row r="195" spans="1:1" x14ac:dyDescent="0.75">
      <c r="A195" s="1"/>
    </row>
    <row r="196" spans="1:1" x14ac:dyDescent="0.75">
      <c r="A196" s="1"/>
    </row>
    <row r="197" spans="1:1" x14ac:dyDescent="0.75">
      <c r="A197" s="1"/>
    </row>
    <row r="198" spans="1:1" x14ac:dyDescent="0.75">
      <c r="A198" s="1"/>
    </row>
    <row r="199" spans="1:1" x14ac:dyDescent="0.75">
      <c r="A199" s="1"/>
    </row>
    <row r="200" spans="1:1" x14ac:dyDescent="0.75">
      <c r="A200" s="1"/>
    </row>
    <row r="201" spans="1:1" x14ac:dyDescent="0.75">
      <c r="A201" s="1"/>
    </row>
    <row r="202" spans="1:1" x14ac:dyDescent="0.75">
      <c r="A202" s="1"/>
    </row>
    <row r="203" spans="1:1" x14ac:dyDescent="0.75">
      <c r="A203" s="1"/>
    </row>
    <row r="204" spans="1:1" x14ac:dyDescent="0.75">
      <c r="A204" s="1"/>
    </row>
    <row r="205" spans="1:1" x14ac:dyDescent="0.75">
      <c r="A205" s="1"/>
    </row>
    <row r="206" spans="1:1" x14ac:dyDescent="0.75">
      <c r="A206" s="1"/>
    </row>
    <row r="207" spans="1:1" x14ac:dyDescent="0.75">
      <c r="A207" s="1"/>
    </row>
    <row r="208" spans="1:1" x14ac:dyDescent="0.75">
      <c r="A208" s="1"/>
    </row>
    <row r="209" spans="1:1" x14ac:dyDescent="0.75">
      <c r="A209" s="1"/>
    </row>
    <row r="210" spans="1:1" x14ac:dyDescent="0.75">
      <c r="A210" s="1"/>
    </row>
    <row r="211" spans="1:1" x14ac:dyDescent="0.75">
      <c r="A211" s="1"/>
    </row>
    <row r="212" spans="1:1" x14ac:dyDescent="0.75">
      <c r="A212" s="1"/>
    </row>
    <row r="213" spans="1:1" x14ac:dyDescent="0.75">
      <c r="A213" s="1"/>
    </row>
    <row r="214" spans="1:1" x14ac:dyDescent="0.75">
      <c r="A214" s="1"/>
    </row>
    <row r="215" spans="1:1" x14ac:dyDescent="0.75">
      <c r="A215" s="1"/>
    </row>
    <row r="216" spans="1:1" x14ac:dyDescent="0.75">
      <c r="A216" s="1"/>
    </row>
    <row r="217" spans="1:1" x14ac:dyDescent="0.75">
      <c r="A217" s="1"/>
    </row>
    <row r="218" spans="1:1" x14ac:dyDescent="0.75">
      <c r="A218" s="1"/>
    </row>
    <row r="219" spans="1:1" x14ac:dyDescent="0.75">
      <c r="A219" s="1"/>
    </row>
    <row r="220" spans="1:1" x14ac:dyDescent="0.75">
      <c r="A220" s="1"/>
    </row>
    <row r="221" spans="1:1" x14ac:dyDescent="0.75">
      <c r="A221" s="1"/>
    </row>
    <row r="222" spans="1:1" x14ac:dyDescent="0.75">
      <c r="A222" s="1"/>
    </row>
    <row r="223" spans="1:1" x14ac:dyDescent="0.75">
      <c r="A223" s="1"/>
    </row>
    <row r="224" spans="1:1" x14ac:dyDescent="0.75">
      <c r="A224" s="1"/>
    </row>
    <row r="225" spans="1:1" x14ac:dyDescent="0.75">
      <c r="A225" s="1"/>
    </row>
    <row r="226" spans="1:1" x14ac:dyDescent="0.75">
      <c r="A226" s="1"/>
    </row>
    <row r="227" spans="1:1" x14ac:dyDescent="0.75">
      <c r="A227" s="1"/>
    </row>
    <row r="228" spans="1:1" x14ac:dyDescent="0.75">
      <c r="A228" s="1"/>
    </row>
    <row r="229" spans="1:1" x14ac:dyDescent="0.75">
      <c r="A229" s="1"/>
    </row>
    <row r="230" spans="1:1" x14ac:dyDescent="0.75">
      <c r="A230" s="1"/>
    </row>
    <row r="231" spans="1:1" x14ac:dyDescent="0.75">
      <c r="A231" s="1"/>
    </row>
    <row r="232" spans="1:1" x14ac:dyDescent="0.75">
      <c r="A232" s="1"/>
    </row>
    <row r="233" spans="1:1" x14ac:dyDescent="0.75">
      <c r="A233" s="1"/>
    </row>
    <row r="234" spans="1:1" x14ac:dyDescent="0.75">
      <c r="A234" s="1"/>
    </row>
    <row r="235" spans="1:1" x14ac:dyDescent="0.75">
      <c r="A235" s="1"/>
    </row>
    <row r="236" spans="1:1" x14ac:dyDescent="0.75">
      <c r="A236" s="1"/>
    </row>
    <row r="237" spans="1:1" x14ac:dyDescent="0.75">
      <c r="A237" s="1"/>
    </row>
    <row r="238" spans="1:1" x14ac:dyDescent="0.75">
      <c r="A238" s="1"/>
    </row>
    <row r="239" spans="1:1" x14ac:dyDescent="0.75">
      <c r="A239" s="1"/>
    </row>
    <row r="240" spans="1:1" x14ac:dyDescent="0.75">
      <c r="A240" s="1"/>
    </row>
    <row r="241" spans="1:1" x14ac:dyDescent="0.75">
      <c r="A241" s="1"/>
    </row>
    <row r="242" spans="1:1" x14ac:dyDescent="0.75">
      <c r="A242" s="1"/>
    </row>
    <row r="243" spans="1:1" x14ac:dyDescent="0.75">
      <c r="A243" s="1"/>
    </row>
    <row r="244" spans="1:1" x14ac:dyDescent="0.75">
      <c r="A244" s="1"/>
    </row>
    <row r="245" spans="1:1" x14ac:dyDescent="0.75">
      <c r="A245" s="1"/>
    </row>
    <row r="246" spans="1:1" x14ac:dyDescent="0.75">
      <c r="A246" s="1"/>
    </row>
    <row r="247" spans="1:1" x14ac:dyDescent="0.75">
      <c r="A247" s="1"/>
    </row>
    <row r="248" spans="1:1" x14ac:dyDescent="0.75">
      <c r="A248" s="1"/>
    </row>
    <row r="249" spans="1:1" x14ac:dyDescent="0.75">
      <c r="A249" s="1"/>
    </row>
    <row r="250" spans="1:1" x14ac:dyDescent="0.75">
      <c r="A250" s="1"/>
    </row>
    <row r="251" spans="1:1" x14ac:dyDescent="0.75">
      <c r="A251" s="1"/>
    </row>
    <row r="252" spans="1:1" x14ac:dyDescent="0.75">
      <c r="A252" s="1"/>
    </row>
    <row r="253" spans="1:1" x14ac:dyDescent="0.75">
      <c r="A253" s="1"/>
    </row>
    <row r="254" spans="1:1" x14ac:dyDescent="0.75">
      <c r="A254" s="1"/>
    </row>
    <row r="255" spans="1:1" x14ac:dyDescent="0.75">
      <c r="A255" s="1"/>
    </row>
    <row r="256" spans="1:1" x14ac:dyDescent="0.75">
      <c r="A256" s="1"/>
    </row>
    <row r="257" spans="1:1" x14ac:dyDescent="0.75">
      <c r="A257" s="1"/>
    </row>
    <row r="258" spans="1:1" x14ac:dyDescent="0.75">
      <c r="A258" s="1"/>
    </row>
    <row r="259" spans="1:1" x14ac:dyDescent="0.75">
      <c r="A259" s="1"/>
    </row>
    <row r="260" spans="1:1" x14ac:dyDescent="0.75">
      <c r="A260" s="1"/>
    </row>
    <row r="261" spans="1:1" x14ac:dyDescent="0.75">
      <c r="A261" s="1"/>
    </row>
    <row r="262" spans="1:1" x14ac:dyDescent="0.75">
      <c r="A262" s="1"/>
    </row>
    <row r="263" spans="1:1" x14ac:dyDescent="0.75">
      <c r="A263" s="1"/>
    </row>
    <row r="264" spans="1:1" x14ac:dyDescent="0.75">
      <c r="A264" s="1"/>
    </row>
    <row r="265" spans="1:1" x14ac:dyDescent="0.75">
      <c r="A265" s="1"/>
    </row>
    <row r="266" spans="1:1" x14ac:dyDescent="0.75">
      <c r="A266" s="1"/>
    </row>
    <row r="267" spans="1:1" x14ac:dyDescent="0.75">
      <c r="A267" s="1"/>
    </row>
    <row r="268" spans="1:1" x14ac:dyDescent="0.75">
      <c r="A268" s="1"/>
    </row>
    <row r="269" spans="1:1" x14ac:dyDescent="0.75">
      <c r="A269" s="1"/>
    </row>
    <row r="270" spans="1:1" x14ac:dyDescent="0.75">
      <c r="A270" s="1"/>
    </row>
    <row r="271" spans="1:1" x14ac:dyDescent="0.75">
      <c r="A271" s="1"/>
    </row>
    <row r="272" spans="1:1" x14ac:dyDescent="0.75">
      <c r="A272" s="1"/>
    </row>
    <row r="273" spans="1:1" x14ac:dyDescent="0.75">
      <c r="A273" s="1"/>
    </row>
    <row r="274" spans="1:1" x14ac:dyDescent="0.75">
      <c r="A274" s="1"/>
    </row>
    <row r="275" spans="1:1" x14ac:dyDescent="0.75">
      <c r="A275" s="1"/>
    </row>
    <row r="276" spans="1:1" x14ac:dyDescent="0.75">
      <c r="A276" s="1"/>
    </row>
    <row r="277" spans="1:1" x14ac:dyDescent="0.75">
      <c r="A277" s="1"/>
    </row>
    <row r="278" spans="1:1" x14ac:dyDescent="0.75">
      <c r="A278" s="1"/>
    </row>
    <row r="279" spans="1:1" x14ac:dyDescent="0.75">
      <c r="A279" s="1"/>
    </row>
    <row r="280" spans="1:1" x14ac:dyDescent="0.75">
      <c r="A280" s="1"/>
    </row>
    <row r="281" spans="1:1" x14ac:dyDescent="0.75">
      <c r="A281" s="1"/>
    </row>
    <row r="282" spans="1:1" x14ac:dyDescent="0.75">
      <c r="A282" s="1"/>
    </row>
    <row r="283" spans="1:1" x14ac:dyDescent="0.75">
      <c r="A283" s="1"/>
    </row>
    <row r="284" spans="1:1" x14ac:dyDescent="0.75">
      <c r="A284" s="1"/>
    </row>
    <row r="285" spans="1:1" x14ac:dyDescent="0.75">
      <c r="A285" s="1"/>
    </row>
    <row r="286" spans="1:1" x14ac:dyDescent="0.75">
      <c r="A286" s="1"/>
    </row>
    <row r="287" spans="1:1" x14ac:dyDescent="0.75">
      <c r="A287" s="1"/>
    </row>
    <row r="288" spans="1:1" x14ac:dyDescent="0.75">
      <c r="A288" s="1"/>
    </row>
    <row r="289" spans="1:1" x14ac:dyDescent="0.75">
      <c r="A289" s="1"/>
    </row>
    <row r="290" spans="1:1" x14ac:dyDescent="0.75">
      <c r="A290" s="1"/>
    </row>
    <row r="291" spans="1:1" x14ac:dyDescent="0.75">
      <c r="A291" s="1"/>
    </row>
    <row r="292" spans="1:1" x14ac:dyDescent="0.75">
      <c r="A292" s="1"/>
    </row>
    <row r="293" spans="1:1" x14ac:dyDescent="0.75">
      <c r="A293" s="1"/>
    </row>
    <row r="294" spans="1:1" x14ac:dyDescent="0.75">
      <c r="A294" s="1"/>
    </row>
    <row r="295" spans="1:1" x14ac:dyDescent="0.75">
      <c r="A295" s="1"/>
    </row>
    <row r="296" spans="1:1" x14ac:dyDescent="0.75">
      <c r="A296" s="1"/>
    </row>
    <row r="297" spans="1:1" x14ac:dyDescent="0.75">
      <c r="A297" s="1"/>
    </row>
    <row r="298" spans="1:1" x14ac:dyDescent="0.75">
      <c r="A298" s="1"/>
    </row>
    <row r="299" spans="1:1" x14ac:dyDescent="0.75">
      <c r="A299" s="2"/>
    </row>
    <row r="300" spans="1:1" x14ac:dyDescent="0.75">
      <c r="A300" s="1"/>
    </row>
    <row r="301" spans="1:1" x14ac:dyDescent="0.75">
      <c r="A301" s="1"/>
    </row>
    <row r="302" spans="1:1" x14ac:dyDescent="0.75">
      <c r="A302" s="1"/>
    </row>
    <row r="303" spans="1:1" x14ac:dyDescent="0.75">
      <c r="A303" s="1"/>
    </row>
    <row r="304" spans="1:1" x14ac:dyDescent="0.75">
      <c r="A304" s="1"/>
    </row>
    <row r="305" spans="1:1" x14ac:dyDescent="0.75">
      <c r="A305" s="1"/>
    </row>
    <row r="306" spans="1:1" x14ac:dyDescent="0.75">
      <c r="A306" s="1"/>
    </row>
    <row r="307" spans="1:1" x14ac:dyDescent="0.75">
      <c r="A307" s="1"/>
    </row>
    <row r="308" spans="1:1" x14ac:dyDescent="0.75">
      <c r="A308" s="1"/>
    </row>
    <row r="309" spans="1:1" x14ac:dyDescent="0.75">
      <c r="A309" s="1"/>
    </row>
    <row r="310" spans="1:1" x14ac:dyDescent="0.75">
      <c r="A310" s="1"/>
    </row>
    <row r="311" spans="1:1" x14ac:dyDescent="0.75">
      <c r="A311" s="1"/>
    </row>
    <row r="312" spans="1:1" x14ac:dyDescent="0.75">
      <c r="A312" s="1"/>
    </row>
    <row r="313" spans="1:1" x14ac:dyDescent="0.75">
      <c r="A313" s="1"/>
    </row>
    <row r="314" spans="1:1" x14ac:dyDescent="0.75">
      <c r="A314" s="1"/>
    </row>
    <row r="315" spans="1:1" x14ac:dyDescent="0.75">
      <c r="A315" s="1"/>
    </row>
    <row r="316" spans="1:1" x14ac:dyDescent="0.75">
      <c r="A316" s="1"/>
    </row>
    <row r="317" spans="1:1" x14ac:dyDescent="0.75">
      <c r="A317" s="1"/>
    </row>
    <row r="318" spans="1:1" x14ac:dyDescent="0.75">
      <c r="A318" s="1"/>
    </row>
    <row r="319" spans="1:1" x14ac:dyDescent="0.75">
      <c r="A319" s="1"/>
    </row>
    <row r="320" spans="1:1" x14ac:dyDescent="0.75">
      <c r="A320" s="1"/>
    </row>
    <row r="321" spans="1:1" x14ac:dyDescent="0.75">
      <c r="A321" s="1"/>
    </row>
    <row r="322" spans="1:1" x14ac:dyDescent="0.75">
      <c r="A322" s="1"/>
    </row>
    <row r="323" spans="1:1" x14ac:dyDescent="0.75">
      <c r="A323" s="1"/>
    </row>
    <row r="324" spans="1:1" x14ac:dyDescent="0.75">
      <c r="A324" s="1"/>
    </row>
    <row r="325" spans="1:1" x14ac:dyDescent="0.75">
      <c r="A325" s="1"/>
    </row>
    <row r="326" spans="1:1" x14ac:dyDescent="0.75">
      <c r="A326" s="1"/>
    </row>
    <row r="327" spans="1:1" x14ac:dyDescent="0.75">
      <c r="A327" s="1"/>
    </row>
    <row r="328" spans="1:1" x14ac:dyDescent="0.75">
      <c r="A328" s="1"/>
    </row>
    <row r="329" spans="1:1" x14ac:dyDescent="0.75">
      <c r="A329" s="1"/>
    </row>
    <row r="330" spans="1:1" x14ac:dyDescent="0.75">
      <c r="A330" s="1"/>
    </row>
    <row r="331" spans="1:1" x14ac:dyDescent="0.75">
      <c r="A331" s="1"/>
    </row>
    <row r="332" spans="1:1" x14ac:dyDescent="0.75">
      <c r="A332" s="1"/>
    </row>
    <row r="333" spans="1:1" x14ac:dyDescent="0.75">
      <c r="A333" s="1"/>
    </row>
    <row r="334" spans="1:1" x14ac:dyDescent="0.75">
      <c r="A334" s="1"/>
    </row>
    <row r="335" spans="1:1" x14ac:dyDescent="0.75">
      <c r="A335" s="1"/>
    </row>
    <row r="336" spans="1:1" x14ac:dyDescent="0.75">
      <c r="A336" s="1"/>
    </row>
    <row r="337" spans="1:1" x14ac:dyDescent="0.75">
      <c r="A337" s="1"/>
    </row>
    <row r="338" spans="1:1" x14ac:dyDescent="0.75">
      <c r="A338" s="1"/>
    </row>
    <row r="339" spans="1:1" x14ac:dyDescent="0.75">
      <c r="A339" s="2"/>
    </row>
    <row r="340" spans="1:1" x14ac:dyDescent="0.75">
      <c r="A340" s="2"/>
    </row>
    <row r="341" spans="1:1" x14ac:dyDescent="0.75">
      <c r="A341" s="2"/>
    </row>
    <row r="342" spans="1:1" x14ac:dyDescent="0.75">
      <c r="A342" s="2"/>
    </row>
    <row r="343" spans="1:1" x14ac:dyDescent="0.75">
      <c r="A343" s="2"/>
    </row>
    <row r="344" spans="1:1" x14ac:dyDescent="0.75">
      <c r="A344" s="1"/>
    </row>
    <row r="345" spans="1:1" x14ac:dyDescent="0.75">
      <c r="A345" s="2"/>
    </row>
    <row r="346" spans="1:1" x14ac:dyDescent="0.75">
      <c r="A346" s="2"/>
    </row>
    <row r="347" spans="1:1" x14ac:dyDescent="0.75">
      <c r="A347" s="2"/>
    </row>
    <row r="348" spans="1:1" x14ac:dyDescent="0.75">
      <c r="A348" s="2"/>
    </row>
    <row r="349" spans="1:1" x14ac:dyDescent="0.75">
      <c r="A349" s="1"/>
    </row>
    <row r="350" spans="1:1" x14ac:dyDescent="0.75">
      <c r="A350" s="1"/>
    </row>
    <row r="351" spans="1:1" x14ac:dyDescent="0.75">
      <c r="A351" s="1"/>
    </row>
    <row r="352" spans="1:1" x14ac:dyDescent="0.75">
      <c r="A352" s="1"/>
    </row>
    <row r="353" spans="1:1" x14ac:dyDescent="0.75">
      <c r="A353" s="1"/>
    </row>
    <row r="354" spans="1:1" x14ac:dyDescent="0.75">
      <c r="A354" s="1"/>
    </row>
    <row r="355" spans="1:1" x14ac:dyDescent="0.75">
      <c r="A355" s="1"/>
    </row>
    <row r="356" spans="1:1" x14ac:dyDescent="0.75">
      <c r="A356" s="2"/>
    </row>
    <row r="357" spans="1:1" x14ac:dyDescent="0.75">
      <c r="A357" s="1"/>
    </row>
    <row r="358" spans="1:1" x14ac:dyDescent="0.75">
      <c r="A358" s="2"/>
    </row>
    <row r="359" spans="1:1" x14ac:dyDescent="0.75">
      <c r="A359" s="2"/>
    </row>
    <row r="360" spans="1:1" x14ac:dyDescent="0.75">
      <c r="A360" s="2"/>
    </row>
    <row r="361" spans="1:1" x14ac:dyDescent="0.75">
      <c r="A361" s="2"/>
    </row>
    <row r="362" spans="1:1" x14ac:dyDescent="0.75">
      <c r="A362" s="2"/>
    </row>
    <row r="363" spans="1:1" x14ac:dyDescent="0.75">
      <c r="A363" s="2"/>
    </row>
    <row r="364" spans="1:1" x14ac:dyDescent="0.75">
      <c r="A364" s="2"/>
    </row>
    <row r="365" spans="1:1" x14ac:dyDescent="0.75">
      <c r="A365" s="2"/>
    </row>
    <row r="366" spans="1:1" x14ac:dyDescent="0.75">
      <c r="A366" s="1"/>
    </row>
    <row r="367" spans="1:1" x14ac:dyDescent="0.75">
      <c r="A367" s="1"/>
    </row>
    <row r="368" spans="1:1" x14ac:dyDescent="0.75">
      <c r="A368" s="1"/>
    </row>
    <row r="369" spans="1:1" x14ac:dyDescent="0.75">
      <c r="A369" s="1"/>
    </row>
    <row r="370" spans="1:1" x14ac:dyDescent="0.75">
      <c r="A370" s="1"/>
    </row>
    <row r="371" spans="1:1" x14ac:dyDescent="0.75">
      <c r="A371" s="1"/>
    </row>
    <row r="372" spans="1:1" x14ac:dyDescent="0.75">
      <c r="A372" s="1"/>
    </row>
    <row r="373" spans="1:1" x14ac:dyDescent="0.75">
      <c r="A373" s="1"/>
    </row>
    <row r="374" spans="1:1" x14ac:dyDescent="0.75">
      <c r="A374" s="1"/>
    </row>
    <row r="375" spans="1:1" x14ac:dyDescent="0.75">
      <c r="A375" s="1"/>
    </row>
    <row r="376" spans="1:1" x14ac:dyDescent="0.75">
      <c r="A376" s="1"/>
    </row>
    <row r="377" spans="1:1" x14ac:dyDescent="0.75">
      <c r="A377" s="1"/>
    </row>
    <row r="378" spans="1:1" x14ac:dyDescent="0.75">
      <c r="A378" s="1"/>
    </row>
    <row r="379" spans="1:1" x14ac:dyDescent="0.75">
      <c r="A379" s="1"/>
    </row>
    <row r="380" spans="1:1" x14ac:dyDescent="0.75">
      <c r="A380" s="1"/>
    </row>
    <row r="381" spans="1:1" x14ac:dyDescent="0.75">
      <c r="A381" s="1"/>
    </row>
    <row r="382" spans="1:1" x14ac:dyDescent="0.75">
      <c r="A382" s="1"/>
    </row>
    <row r="383" spans="1:1" x14ac:dyDescent="0.75">
      <c r="A383" s="1"/>
    </row>
    <row r="384" spans="1:1" x14ac:dyDescent="0.75">
      <c r="A384" s="1"/>
    </row>
    <row r="385" spans="1:1" x14ac:dyDescent="0.75">
      <c r="A385" s="1"/>
    </row>
    <row r="386" spans="1:1" x14ac:dyDescent="0.75">
      <c r="A386" s="1"/>
    </row>
    <row r="387" spans="1:1" x14ac:dyDescent="0.75">
      <c r="A387" s="1"/>
    </row>
    <row r="388" spans="1:1" x14ac:dyDescent="0.75">
      <c r="A388" s="1"/>
    </row>
    <row r="389" spans="1:1" x14ac:dyDescent="0.75">
      <c r="A389" s="1"/>
    </row>
    <row r="390" spans="1:1" x14ac:dyDescent="0.75">
      <c r="A390" s="1"/>
    </row>
    <row r="391" spans="1:1" x14ac:dyDescent="0.75">
      <c r="A391" s="1"/>
    </row>
    <row r="392" spans="1:1" x14ac:dyDescent="0.75">
      <c r="A392" s="1"/>
    </row>
    <row r="393" spans="1:1" x14ac:dyDescent="0.75">
      <c r="A393" s="1"/>
    </row>
    <row r="394" spans="1:1" x14ac:dyDescent="0.75">
      <c r="A394" s="1"/>
    </row>
    <row r="395" spans="1:1" x14ac:dyDescent="0.75">
      <c r="A395" s="1"/>
    </row>
    <row r="396" spans="1:1" x14ac:dyDescent="0.75">
      <c r="A396" s="1"/>
    </row>
    <row r="397" spans="1:1" x14ac:dyDescent="0.75">
      <c r="A397" s="1"/>
    </row>
    <row r="398" spans="1:1" x14ac:dyDescent="0.75">
      <c r="A398" s="1"/>
    </row>
    <row r="399" spans="1:1" x14ac:dyDescent="0.75">
      <c r="A399" s="1"/>
    </row>
    <row r="400" spans="1:1" x14ac:dyDescent="0.75">
      <c r="A400" s="1"/>
    </row>
    <row r="401" spans="1:1" x14ac:dyDescent="0.75">
      <c r="A401" s="1"/>
    </row>
    <row r="402" spans="1:1" x14ac:dyDescent="0.75">
      <c r="A402" s="1"/>
    </row>
    <row r="403" spans="1:1" x14ac:dyDescent="0.75">
      <c r="A403" s="1"/>
    </row>
    <row r="404" spans="1:1" x14ac:dyDescent="0.75">
      <c r="A404" s="1"/>
    </row>
    <row r="405" spans="1:1" x14ac:dyDescent="0.75">
      <c r="A405" s="1"/>
    </row>
    <row r="406" spans="1:1" x14ac:dyDescent="0.75">
      <c r="A406" s="1"/>
    </row>
    <row r="407" spans="1:1" x14ac:dyDescent="0.75">
      <c r="A407" s="2"/>
    </row>
    <row r="408" spans="1:1" x14ac:dyDescent="0.75">
      <c r="A408" s="1"/>
    </row>
    <row r="409" spans="1:1" x14ac:dyDescent="0.75">
      <c r="A409" s="1"/>
    </row>
    <row r="410" spans="1:1" x14ac:dyDescent="0.75">
      <c r="A410" s="1"/>
    </row>
    <row r="411" spans="1:1" x14ac:dyDescent="0.75">
      <c r="A411" s="1"/>
    </row>
    <row r="412" spans="1:1" x14ac:dyDescent="0.75">
      <c r="A412" s="2"/>
    </row>
    <row r="413" spans="1:1" x14ac:dyDescent="0.75">
      <c r="A413" s="1"/>
    </row>
    <row r="414" spans="1:1" x14ac:dyDescent="0.75">
      <c r="A414" s="1"/>
    </row>
    <row r="415" spans="1:1" x14ac:dyDescent="0.75">
      <c r="A415" s="1"/>
    </row>
    <row r="416" spans="1:1" x14ac:dyDescent="0.75">
      <c r="A416" s="1"/>
    </row>
    <row r="417" spans="1:1" x14ac:dyDescent="0.75">
      <c r="A417" s="1"/>
    </row>
    <row r="418" spans="1:1" x14ac:dyDescent="0.75">
      <c r="A418" s="1"/>
    </row>
    <row r="419" spans="1:1" x14ac:dyDescent="0.75">
      <c r="A419" s="1"/>
    </row>
    <row r="420" spans="1:1" x14ac:dyDescent="0.75">
      <c r="A420" s="1"/>
    </row>
    <row r="421" spans="1:1" x14ac:dyDescent="0.75">
      <c r="A421" s="1"/>
    </row>
    <row r="422" spans="1:1" x14ac:dyDescent="0.75">
      <c r="A422" s="1"/>
    </row>
    <row r="423" spans="1:1" x14ac:dyDescent="0.75">
      <c r="A423" s="1"/>
    </row>
    <row r="424" spans="1:1" x14ac:dyDescent="0.75">
      <c r="A424" s="2"/>
    </row>
    <row r="425" spans="1:1" x14ac:dyDescent="0.75">
      <c r="A425" s="1"/>
    </row>
    <row r="426" spans="1:1" x14ac:dyDescent="0.75">
      <c r="A426" s="1"/>
    </row>
    <row r="427" spans="1:1" x14ac:dyDescent="0.75">
      <c r="A427" s="1"/>
    </row>
    <row r="428" spans="1:1" x14ac:dyDescent="0.75">
      <c r="A428" s="1"/>
    </row>
    <row r="429" spans="1:1" x14ac:dyDescent="0.75">
      <c r="A429" s="1"/>
    </row>
    <row r="430" spans="1:1" x14ac:dyDescent="0.75">
      <c r="A430" s="1"/>
    </row>
    <row r="431" spans="1:1" x14ac:dyDescent="0.75">
      <c r="A431" s="1"/>
    </row>
    <row r="432" spans="1:1" x14ac:dyDescent="0.75">
      <c r="A432" s="1"/>
    </row>
    <row r="433" spans="1:1" x14ac:dyDescent="0.75">
      <c r="A433" s="1"/>
    </row>
    <row r="434" spans="1:1" x14ac:dyDescent="0.75">
      <c r="A434" s="1"/>
    </row>
    <row r="435" spans="1:1" x14ac:dyDescent="0.75">
      <c r="A435" s="1"/>
    </row>
    <row r="436" spans="1:1" x14ac:dyDescent="0.75">
      <c r="A436" s="1"/>
    </row>
    <row r="437" spans="1:1" x14ac:dyDescent="0.75">
      <c r="A437" s="1"/>
    </row>
    <row r="438" spans="1:1" x14ac:dyDescent="0.75">
      <c r="A438" s="1"/>
    </row>
    <row r="439" spans="1:1" x14ac:dyDescent="0.75">
      <c r="A439" s="1"/>
    </row>
    <row r="440" spans="1:1" x14ac:dyDescent="0.75">
      <c r="A440" s="1"/>
    </row>
    <row r="441" spans="1:1" x14ac:dyDescent="0.75">
      <c r="A441" s="1"/>
    </row>
    <row r="442" spans="1:1" x14ac:dyDescent="0.75">
      <c r="A442" s="1"/>
    </row>
    <row r="443" spans="1:1" x14ac:dyDescent="0.75">
      <c r="A443" s="1"/>
    </row>
    <row r="444" spans="1:1" x14ac:dyDescent="0.75">
      <c r="A444" s="1"/>
    </row>
    <row r="445" spans="1:1" x14ac:dyDescent="0.75">
      <c r="A445" s="1"/>
    </row>
    <row r="446" spans="1:1" x14ac:dyDescent="0.75">
      <c r="A446" s="1"/>
    </row>
    <row r="447" spans="1:1" x14ac:dyDescent="0.75">
      <c r="A447" s="1"/>
    </row>
    <row r="448" spans="1:1" x14ac:dyDescent="0.75">
      <c r="A448" s="1"/>
    </row>
    <row r="449" spans="1:1" x14ac:dyDescent="0.75">
      <c r="A449" s="1"/>
    </row>
    <row r="450" spans="1:1" x14ac:dyDescent="0.75">
      <c r="A450" s="1"/>
    </row>
    <row r="451" spans="1:1" x14ac:dyDescent="0.75">
      <c r="A451" s="1"/>
    </row>
    <row r="452" spans="1:1" x14ac:dyDescent="0.75">
      <c r="A452" s="1"/>
    </row>
    <row r="453" spans="1:1" x14ac:dyDescent="0.75">
      <c r="A453" s="1"/>
    </row>
    <row r="454" spans="1:1" x14ac:dyDescent="0.75">
      <c r="A454" s="1"/>
    </row>
    <row r="455" spans="1:1" x14ac:dyDescent="0.75">
      <c r="A455" s="1"/>
    </row>
    <row r="456" spans="1:1" x14ac:dyDescent="0.75">
      <c r="A456" s="1"/>
    </row>
    <row r="457" spans="1:1" x14ac:dyDescent="0.75">
      <c r="A457" s="1"/>
    </row>
    <row r="458" spans="1:1" x14ac:dyDescent="0.75">
      <c r="A458" s="1"/>
    </row>
    <row r="459" spans="1:1" x14ac:dyDescent="0.75">
      <c r="A459" s="1"/>
    </row>
    <row r="460" spans="1:1" x14ac:dyDescent="0.75">
      <c r="A460" s="1"/>
    </row>
    <row r="461" spans="1:1" x14ac:dyDescent="0.75">
      <c r="A461" s="1"/>
    </row>
    <row r="462" spans="1:1" x14ac:dyDescent="0.75">
      <c r="A462" s="1"/>
    </row>
    <row r="463" spans="1:1" x14ac:dyDescent="0.75">
      <c r="A463" s="1"/>
    </row>
    <row r="464" spans="1:1" x14ac:dyDescent="0.75">
      <c r="A464" s="1"/>
    </row>
    <row r="465" spans="1:1" x14ac:dyDescent="0.75">
      <c r="A465" s="1"/>
    </row>
    <row r="466" spans="1:1" x14ac:dyDescent="0.75">
      <c r="A466" s="1"/>
    </row>
    <row r="467" spans="1:1" x14ac:dyDescent="0.75">
      <c r="A467" s="1"/>
    </row>
    <row r="468" spans="1:1" x14ac:dyDescent="0.75">
      <c r="A468" s="1"/>
    </row>
    <row r="469" spans="1:1" x14ac:dyDescent="0.75">
      <c r="A469" s="1"/>
    </row>
    <row r="470" spans="1:1" x14ac:dyDescent="0.75">
      <c r="A470" s="1"/>
    </row>
    <row r="471" spans="1:1" x14ac:dyDescent="0.75">
      <c r="A471" s="1"/>
    </row>
    <row r="472" spans="1:1" x14ac:dyDescent="0.75">
      <c r="A472" s="1"/>
    </row>
    <row r="473" spans="1:1" x14ac:dyDescent="0.75">
      <c r="A473" s="1"/>
    </row>
    <row r="474" spans="1:1" x14ac:dyDescent="0.75">
      <c r="A474" s="1"/>
    </row>
    <row r="475" spans="1:1" x14ac:dyDescent="0.75">
      <c r="A475" s="1"/>
    </row>
    <row r="476" spans="1:1" x14ac:dyDescent="0.75">
      <c r="A476" s="1"/>
    </row>
    <row r="477" spans="1:1" x14ac:dyDescent="0.75">
      <c r="A477" s="1"/>
    </row>
    <row r="478" spans="1:1" x14ac:dyDescent="0.75">
      <c r="A478" s="1"/>
    </row>
    <row r="479" spans="1:1" x14ac:dyDescent="0.75">
      <c r="A479" s="1"/>
    </row>
    <row r="480" spans="1:1" x14ac:dyDescent="0.75">
      <c r="A480" s="1"/>
    </row>
    <row r="481" spans="1:1" x14ac:dyDescent="0.75">
      <c r="A481" s="1"/>
    </row>
    <row r="482" spans="1:1" x14ac:dyDescent="0.75">
      <c r="A482" s="1"/>
    </row>
    <row r="483" spans="1:1" x14ac:dyDescent="0.75">
      <c r="A483" s="1"/>
    </row>
    <row r="484" spans="1:1" x14ac:dyDescent="0.75">
      <c r="A484" s="1"/>
    </row>
    <row r="485" spans="1:1" x14ac:dyDescent="0.75">
      <c r="A485" s="1"/>
    </row>
    <row r="486" spans="1:1" x14ac:dyDescent="0.75">
      <c r="A486" s="1"/>
    </row>
    <row r="487" spans="1:1" x14ac:dyDescent="0.75">
      <c r="A487" s="1"/>
    </row>
    <row r="488" spans="1:1" x14ac:dyDescent="0.75">
      <c r="A488" s="2"/>
    </row>
    <row r="489" spans="1:1" x14ac:dyDescent="0.75">
      <c r="A489" s="2"/>
    </row>
    <row r="490" spans="1:1" x14ac:dyDescent="0.75">
      <c r="A490" s="1"/>
    </row>
    <row r="491" spans="1:1" x14ac:dyDescent="0.75">
      <c r="A491" s="1"/>
    </row>
    <row r="492" spans="1:1" x14ac:dyDescent="0.75">
      <c r="A492" s="1"/>
    </row>
    <row r="493" spans="1:1" x14ac:dyDescent="0.75">
      <c r="A493" s="1"/>
    </row>
    <row r="494" spans="1:1" x14ac:dyDescent="0.75">
      <c r="A494" s="1"/>
    </row>
    <row r="495" spans="1:1" x14ac:dyDescent="0.75">
      <c r="A495" s="1"/>
    </row>
    <row r="496" spans="1:1" x14ac:dyDescent="0.75">
      <c r="A496" s="1"/>
    </row>
    <row r="497" spans="1:1" x14ac:dyDescent="0.75">
      <c r="A497" s="1"/>
    </row>
    <row r="498" spans="1:1" x14ac:dyDescent="0.75">
      <c r="A498" s="1"/>
    </row>
    <row r="499" spans="1:1" x14ac:dyDescent="0.75">
      <c r="A499" s="1"/>
    </row>
    <row r="500" spans="1:1" x14ac:dyDescent="0.75">
      <c r="A500" s="1"/>
    </row>
    <row r="501" spans="1:1" x14ac:dyDescent="0.75">
      <c r="A501" s="1"/>
    </row>
    <row r="502" spans="1:1" x14ac:dyDescent="0.75">
      <c r="A502" s="1"/>
    </row>
    <row r="503" spans="1:1" x14ac:dyDescent="0.75">
      <c r="A503" s="1"/>
    </row>
    <row r="504" spans="1:1" x14ac:dyDescent="0.75">
      <c r="A504" s="1"/>
    </row>
    <row r="505" spans="1:1" x14ac:dyDescent="0.75">
      <c r="A505" s="1"/>
    </row>
    <row r="506" spans="1:1" x14ac:dyDescent="0.75">
      <c r="A506" s="1"/>
    </row>
    <row r="507" spans="1:1" x14ac:dyDescent="0.75">
      <c r="A507" s="1"/>
    </row>
    <row r="508" spans="1:1" x14ac:dyDescent="0.75">
      <c r="A508" s="1"/>
    </row>
    <row r="509" spans="1:1" x14ac:dyDescent="0.75">
      <c r="A509" s="1"/>
    </row>
    <row r="510" spans="1:1" x14ac:dyDescent="0.75">
      <c r="A510" s="1"/>
    </row>
    <row r="511" spans="1:1" x14ac:dyDescent="0.75">
      <c r="A511" s="1"/>
    </row>
    <row r="512" spans="1:1" x14ac:dyDescent="0.75">
      <c r="A512" s="1"/>
    </row>
    <row r="513" spans="1:1" x14ac:dyDescent="0.75">
      <c r="A513" s="1"/>
    </row>
    <row r="514" spans="1:1" x14ac:dyDescent="0.75">
      <c r="A514" s="1"/>
    </row>
    <row r="515" spans="1:1" x14ac:dyDescent="0.75">
      <c r="A515" s="1"/>
    </row>
    <row r="516" spans="1:1" x14ac:dyDescent="0.75">
      <c r="A516" s="1"/>
    </row>
    <row r="517" spans="1:1" x14ac:dyDescent="0.75">
      <c r="A517" s="1"/>
    </row>
    <row r="518" spans="1:1" x14ac:dyDescent="0.75">
      <c r="A518" s="1"/>
    </row>
    <row r="519" spans="1:1" x14ac:dyDescent="0.75">
      <c r="A519" s="1"/>
    </row>
    <row r="520" spans="1:1" x14ac:dyDescent="0.75">
      <c r="A520" s="1"/>
    </row>
    <row r="521" spans="1:1" x14ac:dyDescent="0.75">
      <c r="A521" s="1"/>
    </row>
    <row r="522" spans="1:1" x14ac:dyDescent="0.75">
      <c r="A522" s="1"/>
    </row>
    <row r="523" spans="1:1" x14ac:dyDescent="0.75">
      <c r="A523" s="1"/>
    </row>
    <row r="524" spans="1:1" x14ac:dyDescent="0.75">
      <c r="A524" s="1"/>
    </row>
    <row r="525" spans="1:1" x14ac:dyDescent="0.75">
      <c r="A525" s="1"/>
    </row>
    <row r="526" spans="1:1" x14ac:dyDescent="0.75">
      <c r="A526" s="1"/>
    </row>
    <row r="527" spans="1:1" x14ac:dyDescent="0.75">
      <c r="A527" s="1"/>
    </row>
    <row r="528" spans="1:1" x14ac:dyDescent="0.75">
      <c r="A528" s="1"/>
    </row>
    <row r="529" spans="1:1" x14ac:dyDescent="0.75">
      <c r="A529" s="1"/>
    </row>
    <row r="530" spans="1:1" x14ac:dyDescent="0.75">
      <c r="A530" s="1"/>
    </row>
    <row r="531" spans="1:1" x14ac:dyDescent="0.75">
      <c r="A531" s="1"/>
    </row>
    <row r="532" spans="1:1" x14ac:dyDescent="0.75">
      <c r="A532" s="1"/>
    </row>
    <row r="533" spans="1:1" x14ac:dyDescent="0.75">
      <c r="A533" s="1"/>
    </row>
    <row r="534" spans="1:1" x14ac:dyDescent="0.75">
      <c r="A534" s="1"/>
    </row>
    <row r="535" spans="1:1" x14ac:dyDescent="0.75">
      <c r="A535" s="1"/>
    </row>
    <row r="536" spans="1:1" x14ac:dyDescent="0.75">
      <c r="A536" s="1"/>
    </row>
    <row r="537" spans="1:1" x14ac:dyDescent="0.75">
      <c r="A537" s="1"/>
    </row>
    <row r="538" spans="1:1" x14ac:dyDescent="0.75">
      <c r="A538" s="1"/>
    </row>
    <row r="539" spans="1:1" x14ac:dyDescent="0.75">
      <c r="A539" s="1"/>
    </row>
    <row r="540" spans="1:1" x14ac:dyDescent="0.75">
      <c r="A540" s="1"/>
    </row>
    <row r="541" spans="1:1" x14ac:dyDescent="0.75">
      <c r="A541" s="1"/>
    </row>
    <row r="542" spans="1:1" x14ac:dyDescent="0.75">
      <c r="A542" s="1"/>
    </row>
    <row r="543" spans="1:1" x14ac:dyDescent="0.75">
      <c r="A543" s="1"/>
    </row>
    <row r="544" spans="1:1" x14ac:dyDescent="0.75">
      <c r="A544" s="1"/>
    </row>
    <row r="545" spans="1:1" x14ac:dyDescent="0.75">
      <c r="A545" s="1"/>
    </row>
    <row r="546" spans="1:1" x14ac:dyDescent="0.75">
      <c r="A546" s="1"/>
    </row>
    <row r="547" spans="1:1" x14ac:dyDescent="0.75">
      <c r="A547" s="1"/>
    </row>
    <row r="548" spans="1:1" x14ac:dyDescent="0.75">
      <c r="A548" s="1"/>
    </row>
    <row r="549" spans="1:1" x14ac:dyDescent="0.75">
      <c r="A549" s="1"/>
    </row>
    <row r="550" spans="1:1" x14ac:dyDescent="0.75">
      <c r="A550" s="1"/>
    </row>
    <row r="551" spans="1:1" x14ac:dyDescent="0.75">
      <c r="A551" s="1"/>
    </row>
    <row r="552" spans="1:1" x14ac:dyDescent="0.75">
      <c r="A552" s="1"/>
    </row>
    <row r="553" spans="1:1" x14ac:dyDescent="0.75">
      <c r="A553" s="1"/>
    </row>
    <row r="554" spans="1:1" x14ac:dyDescent="0.75">
      <c r="A554" s="1"/>
    </row>
    <row r="555" spans="1:1" x14ac:dyDescent="0.75">
      <c r="A555" s="1"/>
    </row>
    <row r="556" spans="1:1" x14ac:dyDescent="0.75">
      <c r="A556" s="1"/>
    </row>
    <row r="557" spans="1:1" x14ac:dyDescent="0.75">
      <c r="A557" s="1"/>
    </row>
    <row r="558" spans="1:1" x14ac:dyDescent="0.75">
      <c r="A558" s="1"/>
    </row>
    <row r="559" spans="1:1" x14ac:dyDescent="0.75">
      <c r="A559" s="1"/>
    </row>
    <row r="560" spans="1:1" x14ac:dyDescent="0.75">
      <c r="A560" s="1"/>
    </row>
    <row r="561" spans="1:1" x14ac:dyDescent="0.75">
      <c r="A561" s="1"/>
    </row>
    <row r="562" spans="1:1" x14ac:dyDescent="0.75">
      <c r="A562" s="1"/>
    </row>
    <row r="563" spans="1:1" x14ac:dyDescent="0.75">
      <c r="A563" s="1"/>
    </row>
    <row r="564" spans="1:1" x14ac:dyDescent="0.75">
      <c r="A564" s="1"/>
    </row>
    <row r="565" spans="1:1" x14ac:dyDescent="0.75">
      <c r="A565" s="1"/>
    </row>
    <row r="566" spans="1:1" x14ac:dyDescent="0.75">
      <c r="A566" s="1"/>
    </row>
    <row r="567" spans="1:1" x14ac:dyDescent="0.75">
      <c r="A567" s="1"/>
    </row>
    <row r="568" spans="1:1" x14ac:dyDescent="0.75">
      <c r="A568" s="1"/>
    </row>
    <row r="569" spans="1:1" x14ac:dyDescent="0.75">
      <c r="A569" s="1"/>
    </row>
    <row r="570" spans="1:1" x14ac:dyDescent="0.75">
      <c r="A570" s="1"/>
    </row>
    <row r="571" spans="1:1" x14ac:dyDescent="0.75">
      <c r="A571" s="1"/>
    </row>
    <row r="572" spans="1:1" x14ac:dyDescent="0.75">
      <c r="A572" s="1"/>
    </row>
    <row r="573" spans="1:1" x14ac:dyDescent="0.75">
      <c r="A573" s="1"/>
    </row>
    <row r="574" spans="1:1" x14ac:dyDescent="0.75">
      <c r="A574" s="1"/>
    </row>
    <row r="575" spans="1:1" x14ac:dyDescent="0.75">
      <c r="A575" s="1"/>
    </row>
    <row r="576" spans="1:1" x14ac:dyDescent="0.75">
      <c r="A576" s="1"/>
    </row>
    <row r="577" spans="1:1" x14ac:dyDescent="0.75">
      <c r="A577" s="1"/>
    </row>
    <row r="578" spans="1:1" x14ac:dyDescent="0.75">
      <c r="A578" s="1"/>
    </row>
    <row r="579" spans="1:1" x14ac:dyDescent="0.75">
      <c r="A579" s="1"/>
    </row>
    <row r="580" spans="1:1" x14ac:dyDescent="0.75">
      <c r="A580" s="1"/>
    </row>
    <row r="581" spans="1:1" x14ac:dyDescent="0.75">
      <c r="A581" s="1"/>
    </row>
    <row r="582" spans="1:1" x14ac:dyDescent="0.75">
      <c r="A582" s="1"/>
    </row>
    <row r="583" spans="1:1" x14ac:dyDescent="0.75">
      <c r="A583" s="1"/>
    </row>
    <row r="584" spans="1:1" x14ac:dyDescent="0.75">
      <c r="A584" s="1"/>
    </row>
    <row r="585" spans="1:1" x14ac:dyDescent="0.75">
      <c r="A585" s="1"/>
    </row>
    <row r="586" spans="1:1" x14ac:dyDescent="0.75">
      <c r="A586" s="1"/>
    </row>
    <row r="587" spans="1:1" x14ac:dyDescent="0.75">
      <c r="A587" s="1"/>
    </row>
    <row r="588" spans="1:1" x14ac:dyDescent="0.75">
      <c r="A588" s="1"/>
    </row>
    <row r="589" spans="1:1" x14ac:dyDescent="0.75">
      <c r="A589" s="1"/>
    </row>
    <row r="590" spans="1:1" x14ac:dyDescent="0.75">
      <c r="A590" s="1"/>
    </row>
    <row r="591" spans="1:1" x14ac:dyDescent="0.75">
      <c r="A591" s="1"/>
    </row>
    <row r="592" spans="1:1" x14ac:dyDescent="0.75">
      <c r="A592" s="1"/>
    </row>
    <row r="593" spans="1:1" x14ac:dyDescent="0.75">
      <c r="A593" s="1"/>
    </row>
    <row r="594" spans="1:1" x14ac:dyDescent="0.75">
      <c r="A594" s="1"/>
    </row>
    <row r="595" spans="1:1" x14ac:dyDescent="0.75">
      <c r="A595" s="1"/>
    </row>
    <row r="596" spans="1:1" x14ac:dyDescent="0.75">
      <c r="A596" s="1"/>
    </row>
    <row r="597" spans="1:1" x14ac:dyDescent="0.75">
      <c r="A597" s="1"/>
    </row>
    <row r="598" spans="1:1" x14ac:dyDescent="0.75">
      <c r="A598" s="1"/>
    </row>
    <row r="599" spans="1:1" x14ac:dyDescent="0.75">
      <c r="A599" s="1"/>
    </row>
    <row r="600" spans="1:1" x14ac:dyDescent="0.75">
      <c r="A600" s="1"/>
    </row>
    <row r="601" spans="1:1" x14ac:dyDescent="0.75">
      <c r="A601" s="1"/>
    </row>
    <row r="602" spans="1:1" x14ac:dyDescent="0.75">
      <c r="A602" s="1"/>
    </row>
    <row r="603" spans="1:1" x14ac:dyDescent="0.75">
      <c r="A603" s="1"/>
    </row>
    <row r="604" spans="1:1" x14ac:dyDescent="0.75">
      <c r="A604" s="1"/>
    </row>
    <row r="605" spans="1:1" x14ac:dyDescent="0.75">
      <c r="A605" s="1"/>
    </row>
    <row r="606" spans="1:1" x14ac:dyDescent="0.75">
      <c r="A606" s="1"/>
    </row>
    <row r="607" spans="1:1" x14ac:dyDescent="0.75">
      <c r="A607" s="1"/>
    </row>
    <row r="608" spans="1:1" x14ac:dyDescent="0.75">
      <c r="A608" s="1"/>
    </row>
    <row r="609" spans="1:1" x14ac:dyDescent="0.75">
      <c r="A609" s="1"/>
    </row>
    <row r="610" spans="1:1" x14ac:dyDescent="0.75">
      <c r="A610" s="1"/>
    </row>
    <row r="611" spans="1:1" x14ac:dyDescent="0.75">
      <c r="A611" s="1"/>
    </row>
    <row r="612" spans="1:1" x14ac:dyDescent="0.75">
      <c r="A612" s="1"/>
    </row>
    <row r="613" spans="1:1" x14ac:dyDescent="0.75">
      <c r="A613" s="1"/>
    </row>
    <row r="614" spans="1:1" x14ac:dyDescent="0.75">
      <c r="A614" s="1"/>
    </row>
    <row r="615" spans="1:1" x14ac:dyDescent="0.75">
      <c r="A615" s="1"/>
    </row>
    <row r="616" spans="1:1" x14ac:dyDescent="0.75">
      <c r="A616" s="1"/>
    </row>
    <row r="617" spans="1:1" x14ac:dyDescent="0.75">
      <c r="A617" s="1"/>
    </row>
    <row r="618" spans="1:1" x14ac:dyDescent="0.75">
      <c r="A618" s="1"/>
    </row>
    <row r="619" spans="1:1" x14ac:dyDescent="0.75">
      <c r="A619" s="1"/>
    </row>
    <row r="620" spans="1:1" x14ac:dyDescent="0.75">
      <c r="A620" s="1"/>
    </row>
    <row r="621" spans="1:1" x14ac:dyDescent="0.75">
      <c r="A621" s="1"/>
    </row>
    <row r="622" spans="1:1" x14ac:dyDescent="0.75">
      <c r="A622" s="1"/>
    </row>
    <row r="623" spans="1:1" x14ac:dyDescent="0.75">
      <c r="A623" s="1"/>
    </row>
    <row r="624" spans="1:1" x14ac:dyDescent="0.75">
      <c r="A624" s="1"/>
    </row>
    <row r="625" spans="1:1" x14ac:dyDescent="0.75">
      <c r="A625" s="1"/>
    </row>
    <row r="626" spans="1:1" x14ac:dyDescent="0.75">
      <c r="A626" s="1"/>
    </row>
    <row r="627" spans="1:1" x14ac:dyDescent="0.75">
      <c r="A627" s="1"/>
    </row>
    <row r="628" spans="1:1" x14ac:dyDescent="0.75">
      <c r="A628" s="1"/>
    </row>
    <row r="629" spans="1:1" x14ac:dyDescent="0.75">
      <c r="A629" s="1"/>
    </row>
    <row r="630" spans="1:1" x14ac:dyDescent="0.75">
      <c r="A630" s="1"/>
    </row>
    <row r="631" spans="1:1" x14ac:dyDescent="0.75">
      <c r="A631" s="1"/>
    </row>
    <row r="632" spans="1:1" x14ac:dyDescent="0.75">
      <c r="A632" s="1"/>
    </row>
    <row r="633" spans="1:1" x14ac:dyDescent="0.75">
      <c r="A633" s="1"/>
    </row>
    <row r="634" spans="1:1" x14ac:dyDescent="0.75">
      <c r="A634" s="1"/>
    </row>
    <row r="635" spans="1:1" x14ac:dyDescent="0.75">
      <c r="A635" s="1"/>
    </row>
    <row r="636" spans="1:1" x14ac:dyDescent="0.75">
      <c r="A636" s="1"/>
    </row>
    <row r="637" spans="1:1" x14ac:dyDescent="0.75">
      <c r="A637" s="1"/>
    </row>
    <row r="638" spans="1:1" x14ac:dyDescent="0.75">
      <c r="A638" s="1"/>
    </row>
    <row r="639" spans="1:1" x14ac:dyDescent="0.75">
      <c r="A639" s="1"/>
    </row>
    <row r="640" spans="1:1" x14ac:dyDescent="0.75">
      <c r="A640" s="1"/>
    </row>
    <row r="641" spans="1:1" x14ac:dyDescent="0.75">
      <c r="A641" s="1"/>
    </row>
    <row r="642" spans="1:1" x14ac:dyDescent="0.75">
      <c r="A642" s="1"/>
    </row>
    <row r="643" spans="1:1" x14ac:dyDescent="0.75">
      <c r="A643" s="1"/>
    </row>
    <row r="644" spans="1:1" x14ac:dyDescent="0.75">
      <c r="A644" s="1"/>
    </row>
    <row r="645" spans="1:1" x14ac:dyDescent="0.75">
      <c r="A645" s="1"/>
    </row>
    <row r="646" spans="1:1" x14ac:dyDescent="0.75">
      <c r="A646" s="1"/>
    </row>
    <row r="647" spans="1:1" x14ac:dyDescent="0.75">
      <c r="A647" s="1"/>
    </row>
    <row r="648" spans="1:1" x14ac:dyDescent="0.75">
      <c r="A648" s="1"/>
    </row>
    <row r="649" spans="1:1" x14ac:dyDescent="0.75">
      <c r="A649" s="1"/>
    </row>
    <row r="650" spans="1:1" x14ac:dyDescent="0.75">
      <c r="A650" s="1"/>
    </row>
    <row r="651" spans="1:1" x14ac:dyDescent="0.75">
      <c r="A651" s="1"/>
    </row>
    <row r="652" spans="1:1" x14ac:dyDescent="0.75">
      <c r="A652" s="1"/>
    </row>
    <row r="653" spans="1:1" x14ac:dyDescent="0.75">
      <c r="A653" s="1"/>
    </row>
    <row r="654" spans="1:1" x14ac:dyDescent="0.75">
      <c r="A654" s="1"/>
    </row>
    <row r="655" spans="1:1" x14ac:dyDescent="0.75">
      <c r="A655" s="1"/>
    </row>
    <row r="656" spans="1:1" x14ac:dyDescent="0.75">
      <c r="A656" s="1"/>
    </row>
    <row r="657" spans="1:1" x14ac:dyDescent="0.75">
      <c r="A657" s="2"/>
    </row>
    <row r="658" spans="1:1" x14ac:dyDescent="0.75">
      <c r="A658" s="2"/>
    </row>
    <row r="659" spans="1:1" x14ac:dyDescent="0.75">
      <c r="A659" s="1"/>
    </row>
    <row r="660" spans="1:1" x14ac:dyDescent="0.75">
      <c r="A660" s="1"/>
    </row>
    <row r="661" spans="1:1" x14ac:dyDescent="0.75">
      <c r="A661" s="1"/>
    </row>
    <row r="662" spans="1:1" x14ac:dyDescent="0.75">
      <c r="A662" s="1"/>
    </row>
    <row r="663" spans="1:1" x14ac:dyDescent="0.75">
      <c r="A663" s="1"/>
    </row>
    <row r="664" spans="1:1" x14ac:dyDescent="0.75">
      <c r="A664" s="1"/>
    </row>
    <row r="665" spans="1:1" x14ac:dyDescent="0.75">
      <c r="A665" s="1"/>
    </row>
    <row r="666" spans="1:1" x14ac:dyDescent="0.75">
      <c r="A666" s="1"/>
    </row>
    <row r="667" spans="1:1" x14ac:dyDescent="0.75">
      <c r="A667" s="1"/>
    </row>
    <row r="668" spans="1:1" x14ac:dyDescent="0.75">
      <c r="A668" s="1"/>
    </row>
    <row r="669" spans="1:1" x14ac:dyDescent="0.75">
      <c r="A669" s="1"/>
    </row>
    <row r="670" spans="1:1" x14ac:dyDescent="0.75">
      <c r="A670" s="1"/>
    </row>
    <row r="671" spans="1:1" x14ac:dyDescent="0.75">
      <c r="A671" s="1"/>
    </row>
    <row r="672" spans="1:1" x14ac:dyDescent="0.75">
      <c r="A672" s="1"/>
    </row>
    <row r="673" spans="1:1" x14ac:dyDescent="0.75">
      <c r="A673" s="1"/>
    </row>
    <row r="674" spans="1:1" x14ac:dyDescent="0.75">
      <c r="A674" s="1"/>
    </row>
    <row r="675" spans="1:1" x14ac:dyDescent="0.75">
      <c r="A675" s="1"/>
    </row>
    <row r="676" spans="1:1" x14ac:dyDescent="0.75">
      <c r="A676" s="1"/>
    </row>
    <row r="677" spans="1:1" x14ac:dyDescent="0.75">
      <c r="A677" s="1"/>
    </row>
    <row r="678" spans="1:1" x14ac:dyDescent="0.75">
      <c r="A678" s="1"/>
    </row>
    <row r="679" spans="1:1" x14ac:dyDescent="0.75">
      <c r="A679" s="1"/>
    </row>
    <row r="680" spans="1:1" x14ac:dyDescent="0.75">
      <c r="A680" s="1"/>
    </row>
    <row r="681" spans="1:1" x14ac:dyDescent="0.75">
      <c r="A681" s="1"/>
    </row>
    <row r="682" spans="1:1" x14ac:dyDescent="0.75">
      <c r="A682" s="1"/>
    </row>
    <row r="683" spans="1:1" x14ac:dyDescent="0.75">
      <c r="A683" s="1"/>
    </row>
    <row r="684" spans="1:1" x14ac:dyDescent="0.75">
      <c r="A684" s="1"/>
    </row>
    <row r="685" spans="1:1" x14ac:dyDescent="0.75">
      <c r="A685" s="1"/>
    </row>
    <row r="686" spans="1:1" x14ac:dyDescent="0.75">
      <c r="A686" s="1"/>
    </row>
    <row r="687" spans="1:1" x14ac:dyDescent="0.75">
      <c r="A687" s="1"/>
    </row>
    <row r="688" spans="1:1" x14ac:dyDescent="0.75">
      <c r="A688" s="1"/>
    </row>
    <row r="689" spans="1:1" x14ac:dyDescent="0.75">
      <c r="A689" s="1"/>
    </row>
    <row r="690" spans="1:1" x14ac:dyDescent="0.75">
      <c r="A690" s="1"/>
    </row>
    <row r="691" spans="1:1" x14ac:dyDescent="0.75">
      <c r="A691" s="1"/>
    </row>
    <row r="692" spans="1:1" x14ac:dyDescent="0.75">
      <c r="A692" s="1"/>
    </row>
    <row r="693" spans="1:1" x14ac:dyDescent="0.75">
      <c r="A693" s="1"/>
    </row>
    <row r="694" spans="1:1" x14ac:dyDescent="0.75">
      <c r="A694" s="1"/>
    </row>
    <row r="695" spans="1:1" x14ac:dyDescent="0.75">
      <c r="A695" s="1"/>
    </row>
    <row r="696" spans="1:1" x14ac:dyDescent="0.75">
      <c r="A696" s="1"/>
    </row>
    <row r="697" spans="1:1" x14ac:dyDescent="0.75">
      <c r="A697" s="1"/>
    </row>
    <row r="698" spans="1:1" x14ac:dyDescent="0.75">
      <c r="A698" s="1"/>
    </row>
    <row r="699" spans="1:1" x14ac:dyDescent="0.75">
      <c r="A699" s="1"/>
    </row>
    <row r="700" spans="1:1" x14ac:dyDescent="0.75">
      <c r="A700" s="1"/>
    </row>
    <row r="701" spans="1:1" x14ac:dyDescent="0.75">
      <c r="A701" s="1"/>
    </row>
    <row r="702" spans="1:1" x14ac:dyDescent="0.75">
      <c r="A702" s="1"/>
    </row>
    <row r="703" spans="1:1" x14ac:dyDescent="0.75">
      <c r="A703" s="1"/>
    </row>
    <row r="704" spans="1:1" x14ac:dyDescent="0.75">
      <c r="A704" s="1"/>
    </row>
    <row r="705" spans="1:1" x14ac:dyDescent="0.75">
      <c r="A705" s="1"/>
    </row>
    <row r="706" spans="1:1" x14ac:dyDescent="0.75">
      <c r="A706" s="1"/>
    </row>
    <row r="707" spans="1:1" x14ac:dyDescent="0.75">
      <c r="A707" s="1"/>
    </row>
    <row r="708" spans="1:1" x14ac:dyDescent="0.75">
      <c r="A708" s="1"/>
    </row>
    <row r="709" spans="1:1" x14ac:dyDescent="0.75">
      <c r="A709" s="1"/>
    </row>
    <row r="710" spans="1:1" x14ac:dyDescent="0.75">
      <c r="A710" s="1"/>
    </row>
    <row r="711" spans="1:1" x14ac:dyDescent="0.75">
      <c r="A711" s="1"/>
    </row>
    <row r="712" spans="1:1" x14ac:dyDescent="0.75">
      <c r="A712" s="1"/>
    </row>
    <row r="713" spans="1:1" x14ac:dyDescent="0.75">
      <c r="A713" s="1"/>
    </row>
    <row r="714" spans="1:1" x14ac:dyDescent="0.75">
      <c r="A714" s="1"/>
    </row>
    <row r="715" spans="1:1" x14ac:dyDescent="0.75">
      <c r="A715" s="1"/>
    </row>
    <row r="716" spans="1:1" x14ac:dyDescent="0.75">
      <c r="A716" s="1"/>
    </row>
    <row r="717" spans="1:1" x14ac:dyDescent="0.75">
      <c r="A717" s="1"/>
    </row>
    <row r="718" spans="1:1" x14ac:dyDescent="0.75">
      <c r="A718" s="1"/>
    </row>
    <row r="719" spans="1:1" x14ac:dyDescent="0.75">
      <c r="A719" s="1"/>
    </row>
    <row r="720" spans="1:1" x14ac:dyDescent="0.75">
      <c r="A720" s="1"/>
    </row>
    <row r="721" spans="1:1" x14ac:dyDescent="0.75">
      <c r="A721" s="1"/>
    </row>
    <row r="722" spans="1:1" x14ac:dyDescent="0.75">
      <c r="A722" s="1"/>
    </row>
    <row r="723" spans="1:1" x14ac:dyDescent="0.75">
      <c r="A723" s="1"/>
    </row>
    <row r="724" spans="1:1" x14ac:dyDescent="0.75">
      <c r="A724" s="1"/>
    </row>
    <row r="725" spans="1:1" x14ac:dyDescent="0.75">
      <c r="A725" s="1"/>
    </row>
    <row r="726" spans="1:1" x14ac:dyDescent="0.75">
      <c r="A726" s="1"/>
    </row>
    <row r="727" spans="1:1" x14ac:dyDescent="0.75">
      <c r="A727" s="1"/>
    </row>
    <row r="728" spans="1:1" x14ac:dyDescent="0.75">
      <c r="A728" s="1"/>
    </row>
    <row r="729" spans="1:1" x14ac:dyDescent="0.75">
      <c r="A729" s="1"/>
    </row>
    <row r="730" spans="1:1" x14ac:dyDescent="0.75">
      <c r="A730" s="1"/>
    </row>
    <row r="731" spans="1:1" x14ac:dyDescent="0.75">
      <c r="A731" s="1"/>
    </row>
    <row r="732" spans="1:1" x14ac:dyDescent="0.75">
      <c r="A732" s="1"/>
    </row>
    <row r="733" spans="1:1" x14ac:dyDescent="0.75">
      <c r="A733" s="1"/>
    </row>
    <row r="734" spans="1:1" x14ac:dyDescent="0.75">
      <c r="A734" s="1"/>
    </row>
    <row r="735" spans="1:1" x14ac:dyDescent="0.75">
      <c r="A735" s="1"/>
    </row>
    <row r="736" spans="1:1" x14ac:dyDescent="0.75">
      <c r="A736" s="1"/>
    </row>
    <row r="737" spans="1:1" x14ac:dyDescent="0.75">
      <c r="A737" s="1"/>
    </row>
    <row r="738" spans="1:1" x14ac:dyDescent="0.75">
      <c r="A738" s="1"/>
    </row>
    <row r="739" spans="1:1" x14ac:dyDescent="0.75">
      <c r="A739" s="1"/>
    </row>
    <row r="740" spans="1:1" x14ac:dyDescent="0.75">
      <c r="A740" s="1"/>
    </row>
    <row r="741" spans="1:1" x14ac:dyDescent="0.75">
      <c r="A741" s="1"/>
    </row>
    <row r="742" spans="1:1" x14ac:dyDescent="0.75">
      <c r="A742" s="1"/>
    </row>
    <row r="743" spans="1:1" x14ac:dyDescent="0.75">
      <c r="A743" s="1"/>
    </row>
    <row r="744" spans="1:1" x14ac:dyDescent="0.75">
      <c r="A744" s="1"/>
    </row>
    <row r="745" spans="1:1" x14ac:dyDescent="0.75">
      <c r="A745" s="1"/>
    </row>
    <row r="746" spans="1:1" x14ac:dyDescent="0.75">
      <c r="A746" s="1"/>
    </row>
    <row r="747" spans="1:1" x14ac:dyDescent="0.75">
      <c r="A747" s="1"/>
    </row>
    <row r="748" spans="1:1" x14ac:dyDescent="0.75">
      <c r="A748" s="1"/>
    </row>
    <row r="749" spans="1:1" x14ac:dyDescent="0.75">
      <c r="A749" s="1"/>
    </row>
    <row r="750" spans="1:1" x14ac:dyDescent="0.75">
      <c r="A750" s="1"/>
    </row>
    <row r="751" spans="1:1" x14ac:dyDescent="0.75">
      <c r="A751" s="1"/>
    </row>
    <row r="752" spans="1:1" x14ac:dyDescent="0.75">
      <c r="A752" s="1"/>
    </row>
    <row r="753" spans="1:1" x14ac:dyDescent="0.75">
      <c r="A753" s="1"/>
    </row>
    <row r="754" spans="1:1" x14ac:dyDescent="0.75">
      <c r="A754" s="1"/>
    </row>
    <row r="755" spans="1:1" x14ac:dyDescent="0.75">
      <c r="A755" s="1"/>
    </row>
    <row r="756" spans="1:1" x14ac:dyDescent="0.75">
      <c r="A756" s="1"/>
    </row>
    <row r="757" spans="1:1" x14ac:dyDescent="0.75">
      <c r="A757" s="1"/>
    </row>
    <row r="758" spans="1:1" x14ac:dyDescent="0.75">
      <c r="A758" s="1"/>
    </row>
    <row r="759" spans="1:1" x14ac:dyDescent="0.75">
      <c r="A759" s="1"/>
    </row>
    <row r="760" spans="1:1" x14ac:dyDescent="0.75">
      <c r="A760" s="1"/>
    </row>
    <row r="761" spans="1:1" x14ac:dyDescent="0.75">
      <c r="A761" s="1"/>
    </row>
    <row r="762" spans="1:1" x14ac:dyDescent="0.75">
      <c r="A762" s="1"/>
    </row>
    <row r="763" spans="1:1" x14ac:dyDescent="0.75">
      <c r="A763" s="1"/>
    </row>
    <row r="764" spans="1:1" x14ac:dyDescent="0.75">
      <c r="A764" s="1"/>
    </row>
    <row r="765" spans="1:1" x14ac:dyDescent="0.75">
      <c r="A765" s="1"/>
    </row>
    <row r="766" spans="1:1" x14ac:dyDescent="0.75">
      <c r="A766" s="1"/>
    </row>
    <row r="767" spans="1:1" x14ac:dyDescent="0.75">
      <c r="A767" s="1"/>
    </row>
    <row r="768" spans="1:1" x14ac:dyDescent="0.75">
      <c r="A768" s="1"/>
    </row>
    <row r="769" spans="1:1" x14ac:dyDescent="0.75">
      <c r="A769" s="1"/>
    </row>
    <row r="770" spans="1:1" x14ac:dyDescent="0.75">
      <c r="A770" s="1"/>
    </row>
    <row r="771" spans="1:1" x14ac:dyDescent="0.75">
      <c r="A771" s="1"/>
    </row>
    <row r="772" spans="1:1" x14ac:dyDescent="0.75">
      <c r="A772" s="1"/>
    </row>
    <row r="773" spans="1:1" x14ac:dyDescent="0.75">
      <c r="A773" s="1"/>
    </row>
    <row r="774" spans="1:1" x14ac:dyDescent="0.75">
      <c r="A774" s="1"/>
    </row>
    <row r="775" spans="1:1" x14ac:dyDescent="0.75">
      <c r="A775" s="1"/>
    </row>
    <row r="776" spans="1:1" x14ac:dyDescent="0.75">
      <c r="A776" s="1"/>
    </row>
    <row r="777" spans="1:1" x14ac:dyDescent="0.75">
      <c r="A777" s="1"/>
    </row>
    <row r="778" spans="1:1" x14ac:dyDescent="0.75">
      <c r="A778" s="1"/>
    </row>
    <row r="779" spans="1:1" x14ac:dyDescent="0.75">
      <c r="A779" s="1"/>
    </row>
    <row r="780" spans="1:1" x14ac:dyDescent="0.75">
      <c r="A780" s="1"/>
    </row>
    <row r="781" spans="1:1" x14ac:dyDescent="0.75">
      <c r="A781" s="1"/>
    </row>
    <row r="782" spans="1:1" x14ac:dyDescent="0.75">
      <c r="A782" s="1"/>
    </row>
    <row r="783" spans="1:1" x14ac:dyDescent="0.75">
      <c r="A783" s="1"/>
    </row>
    <row r="784" spans="1:1" x14ac:dyDescent="0.75">
      <c r="A784" s="1"/>
    </row>
    <row r="785" spans="1:1" x14ac:dyDescent="0.75">
      <c r="A785" s="1"/>
    </row>
    <row r="786" spans="1:1" x14ac:dyDescent="0.75">
      <c r="A786" s="1"/>
    </row>
    <row r="787" spans="1:1" x14ac:dyDescent="0.75">
      <c r="A787" s="1"/>
    </row>
    <row r="788" spans="1:1" x14ac:dyDescent="0.75">
      <c r="A788" s="1"/>
    </row>
    <row r="789" spans="1:1" x14ac:dyDescent="0.75">
      <c r="A789" s="1"/>
    </row>
    <row r="790" spans="1:1" x14ac:dyDescent="0.75">
      <c r="A790" s="1"/>
    </row>
    <row r="791" spans="1:1" x14ac:dyDescent="0.75">
      <c r="A791" s="1"/>
    </row>
    <row r="792" spans="1:1" x14ac:dyDescent="0.75">
      <c r="A792" s="1"/>
    </row>
    <row r="793" spans="1:1" x14ac:dyDescent="0.75">
      <c r="A793" s="1"/>
    </row>
    <row r="794" spans="1:1" x14ac:dyDescent="0.75">
      <c r="A794" s="1"/>
    </row>
    <row r="795" spans="1:1" x14ac:dyDescent="0.75">
      <c r="A795" s="1"/>
    </row>
    <row r="796" spans="1:1" x14ac:dyDescent="0.75">
      <c r="A796" s="1"/>
    </row>
    <row r="797" spans="1:1" x14ac:dyDescent="0.75">
      <c r="A797" s="1"/>
    </row>
    <row r="798" spans="1:1" x14ac:dyDescent="0.75">
      <c r="A798" s="1"/>
    </row>
    <row r="799" spans="1:1" x14ac:dyDescent="0.75">
      <c r="A799" s="1"/>
    </row>
    <row r="800" spans="1:1" x14ac:dyDescent="0.75">
      <c r="A800" s="1"/>
    </row>
    <row r="801" spans="1:1" x14ac:dyDescent="0.75">
      <c r="A801" s="1"/>
    </row>
    <row r="802" spans="1:1" x14ac:dyDescent="0.75">
      <c r="A802" s="1"/>
    </row>
    <row r="803" spans="1:1" x14ac:dyDescent="0.75">
      <c r="A803" s="1"/>
    </row>
    <row r="804" spans="1:1" x14ac:dyDescent="0.75">
      <c r="A804" s="1"/>
    </row>
    <row r="805" spans="1:1" x14ac:dyDescent="0.75">
      <c r="A805" s="1"/>
    </row>
    <row r="806" spans="1:1" x14ac:dyDescent="0.75">
      <c r="A806" s="1"/>
    </row>
    <row r="807" spans="1:1" x14ac:dyDescent="0.75">
      <c r="A807" s="1"/>
    </row>
    <row r="808" spans="1:1" x14ac:dyDescent="0.75">
      <c r="A808" s="1"/>
    </row>
    <row r="809" spans="1:1" x14ac:dyDescent="0.75">
      <c r="A809" s="1"/>
    </row>
    <row r="810" spans="1:1" x14ac:dyDescent="0.75">
      <c r="A810" s="1"/>
    </row>
    <row r="811" spans="1:1" x14ac:dyDescent="0.75">
      <c r="A811" s="1"/>
    </row>
    <row r="812" spans="1:1" x14ac:dyDescent="0.75">
      <c r="A812" s="1"/>
    </row>
    <row r="813" spans="1:1" x14ac:dyDescent="0.75">
      <c r="A813" s="1"/>
    </row>
    <row r="814" spans="1:1" x14ac:dyDescent="0.75">
      <c r="A814" s="1"/>
    </row>
    <row r="815" spans="1:1" x14ac:dyDescent="0.75">
      <c r="A815" s="1"/>
    </row>
    <row r="816" spans="1:1" x14ac:dyDescent="0.75">
      <c r="A816" s="1"/>
    </row>
    <row r="817" spans="1:1" x14ac:dyDescent="0.75">
      <c r="A817" s="1"/>
    </row>
    <row r="818" spans="1:1" x14ac:dyDescent="0.75">
      <c r="A818" s="1"/>
    </row>
    <row r="819" spans="1:1" x14ac:dyDescent="0.75">
      <c r="A819" s="1"/>
    </row>
    <row r="820" spans="1:1" x14ac:dyDescent="0.75">
      <c r="A820" s="1"/>
    </row>
    <row r="821" spans="1:1" x14ac:dyDescent="0.75">
      <c r="A821" s="1"/>
    </row>
    <row r="822" spans="1:1" x14ac:dyDescent="0.75">
      <c r="A822" s="1"/>
    </row>
    <row r="823" spans="1:1" x14ac:dyDescent="0.75">
      <c r="A823" s="1"/>
    </row>
    <row r="824" spans="1:1" x14ac:dyDescent="0.75">
      <c r="A824" s="1"/>
    </row>
    <row r="825" spans="1:1" x14ac:dyDescent="0.75">
      <c r="A825" s="1"/>
    </row>
    <row r="826" spans="1:1" x14ac:dyDescent="0.75">
      <c r="A826" s="1"/>
    </row>
    <row r="827" spans="1:1" x14ac:dyDescent="0.75">
      <c r="A827" s="1"/>
    </row>
    <row r="828" spans="1:1" x14ac:dyDescent="0.75">
      <c r="A828" s="1"/>
    </row>
    <row r="829" spans="1:1" x14ac:dyDescent="0.75">
      <c r="A829" s="1"/>
    </row>
    <row r="830" spans="1:1" x14ac:dyDescent="0.75">
      <c r="A830" s="1"/>
    </row>
    <row r="831" spans="1:1" x14ac:dyDescent="0.75">
      <c r="A831" s="1"/>
    </row>
    <row r="832" spans="1:1" x14ac:dyDescent="0.75">
      <c r="A832" s="1"/>
    </row>
    <row r="833" spans="1:1" x14ac:dyDescent="0.75">
      <c r="A833" s="1"/>
    </row>
    <row r="834" spans="1:1" x14ac:dyDescent="0.75">
      <c r="A834" s="1"/>
    </row>
    <row r="835" spans="1:1" x14ac:dyDescent="0.75">
      <c r="A835" s="1"/>
    </row>
    <row r="836" spans="1:1" x14ac:dyDescent="0.75">
      <c r="A836" s="1"/>
    </row>
    <row r="837" spans="1:1" x14ac:dyDescent="0.75">
      <c r="A837" s="1"/>
    </row>
    <row r="838" spans="1:1" x14ac:dyDescent="0.75">
      <c r="A838" s="1"/>
    </row>
    <row r="839" spans="1:1" x14ac:dyDescent="0.75">
      <c r="A839" s="1"/>
    </row>
    <row r="840" spans="1:1" x14ac:dyDescent="0.75">
      <c r="A840" s="1"/>
    </row>
    <row r="841" spans="1:1" x14ac:dyDescent="0.75">
      <c r="A841" s="1"/>
    </row>
    <row r="842" spans="1:1" x14ac:dyDescent="0.75">
      <c r="A842" s="1"/>
    </row>
    <row r="843" spans="1:1" x14ac:dyDescent="0.75">
      <c r="A843" s="1"/>
    </row>
    <row r="844" spans="1:1" x14ac:dyDescent="0.75">
      <c r="A844" s="1"/>
    </row>
    <row r="845" spans="1:1" x14ac:dyDescent="0.75">
      <c r="A845" s="1"/>
    </row>
    <row r="846" spans="1:1" x14ac:dyDescent="0.75">
      <c r="A846" s="1"/>
    </row>
    <row r="847" spans="1:1" x14ac:dyDescent="0.75">
      <c r="A847" s="1"/>
    </row>
    <row r="848" spans="1:1" x14ac:dyDescent="0.75">
      <c r="A848" s="1"/>
    </row>
    <row r="849" spans="1:1" x14ac:dyDescent="0.75">
      <c r="A849" s="1"/>
    </row>
    <row r="850" spans="1:1" x14ac:dyDescent="0.75">
      <c r="A850" s="2"/>
    </row>
    <row r="851" spans="1:1" x14ac:dyDescent="0.75">
      <c r="A851" s="1"/>
    </row>
    <row r="852" spans="1:1" x14ac:dyDescent="0.75">
      <c r="A852" s="1"/>
    </row>
    <row r="853" spans="1:1" x14ac:dyDescent="0.75">
      <c r="A853" s="1"/>
    </row>
    <row r="854" spans="1:1" x14ac:dyDescent="0.75">
      <c r="A854" s="1"/>
    </row>
    <row r="855" spans="1:1" x14ac:dyDescent="0.75">
      <c r="A855" s="1"/>
    </row>
    <row r="856" spans="1:1" x14ac:dyDescent="0.75">
      <c r="A856" s="1"/>
    </row>
    <row r="857" spans="1:1" x14ac:dyDescent="0.75">
      <c r="A857" s="1"/>
    </row>
    <row r="858" spans="1:1" x14ac:dyDescent="0.75">
      <c r="A858" s="1"/>
    </row>
    <row r="859" spans="1:1" x14ac:dyDescent="0.75">
      <c r="A859" s="1"/>
    </row>
    <row r="860" spans="1:1" x14ac:dyDescent="0.75">
      <c r="A860" s="1"/>
    </row>
    <row r="861" spans="1:1" x14ac:dyDescent="0.75">
      <c r="A861" s="1"/>
    </row>
    <row r="862" spans="1:1" x14ac:dyDescent="0.75">
      <c r="A862" s="1"/>
    </row>
    <row r="863" spans="1:1" x14ac:dyDescent="0.75">
      <c r="A863" s="1"/>
    </row>
    <row r="864" spans="1:1" x14ac:dyDescent="0.75">
      <c r="A864" s="1"/>
    </row>
    <row r="865" spans="1:1" x14ac:dyDescent="0.75">
      <c r="A865" s="1"/>
    </row>
    <row r="866" spans="1:1" x14ac:dyDescent="0.75">
      <c r="A866" s="1"/>
    </row>
    <row r="867" spans="1:1" x14ac:dyDescent="0.75">
      <c r="A867" s="1"/>
    </row>
    <row r="868" spans="1:1" x14ac:dyDescent="0.75">
      <c r="A868" s="1"/>
    </row>
    <row r="869" spans="1:1" x14ac:dyDescent="0.75">
      <c r="A869" s="1"/>
    </row>
    <row r="870" spans="1:1" x14ac:dyDescent="0.75">
      <c r="A870" s="1"/>
    </row>
    <row r="871" spans="1:1" x14ac:dyDescent="0.75">
      <c r="A871" s="2"/>
    </row>
    <row r="872" spans="1:1" x14ac:dyDescent="0.75">
      <c r="A872" s="1"/>
    </row>
    <row r="873" spans="1:1" x14ac:dyDescent="0.75">
      <c r="A873" s="1"/>
    </row>
    <row r="874" spans="1:1" x14ac:dyDescent="0.75">
      <c r="A874" s="1"/>
    </row>
    <row r="875" spans="1:1" x14ac:dyDescent="0.75">
      <c r="A875" s="1"/>
    </row>
    <row r="876" spans="1:1" x14ac:dyDescent="0.75">
      <c r="A876" s="2"/>
    </row>
    <row r="877" spans="1:1" x14ac:dyDescent="0.75">
      <c r="A877" s="1"/>
    </row>
    <row r="878" spans="1:1" x14ac:dyDescent="0.75">
      <c r="A878" s="1"/>
    </row>
    <row r="879" spans="1:1" x14ac:dyDescent="0.75">
      <c r="A879" s="2"/>
    </row>
    <row r="880" spans="1:1" x14ac:dyDescent="0.75">
      <c r="A880" s="1"/>
    </row>
    <row r="881" spans="1:1" x14ac:dyDescent="0.75">
      <c r="A881" s="1"/>
    </row>
    <row r="882" spans="1:1" x14ac:dyDescent="0.75">
      <c r="A882" s="2"/>
    </row>
    <row r="883" spans="1:1" x14ac:dyDescent="0.75">
      <c r="A883" s="2"/>
    </row>
    <row r="884" spans="1:1" x14ac:dyDescent="0.75">
      <c r="A884" s="1"/>
    </row>
    <row r="885" spans="1:1" x14ac:dyDescent="0.75">
      <c r="A885" s="2"/>
    </row>
    <row r="886" spans="1:1" x14ac:dyDescent="0.75">
      <c r="A886" s="1"/>
    </row>
    <row r="887" spans="1:1" x14ac:dyDescent="0.75">
      <c r="A887" s="1"/>
    </row>
    <row r="888" spans="1:1" x14ac:dyDescent="0.75">
      <c r="A888" s="1"/>
    </row>
    <row r="889" spans="1:1" x14ac:dyDescent="0.75">
      <c r="A889" s="1"/>
    </row>
    <row r="890" spans="1:1" x14ac:dyDescent="0.75">
      <c r="A890" s="1"/>
    </row>
    <row r="891" spans="1:1" x14ac:dyDescent="0.75">
      <c r="A891" s="1"/>
    </row>
    <row r="892" spans="1:1" x14ac:dyDescent="0.75">
      <c r="A892" s="1"/>
    </row>
    <row r="893" spans="1:1" x14ac:dyDescent="0.75">
      <c r="A893" s="1"/>
    </row>
    <row r="894" spans="1:1" x14ac:dyDescent="0.75">
      <c r="A894" s="1"/>
    </row>
    <row r="895" spans="1:1" x14ac:dyDescent="0.75">
      <c r="A895" s="1"/>
    </row>
    <row r="896" spans="1:1" x14ac:dyDescent="0.75">
      <c r="A896" s="1"/>
    </row>
    <row r="897" spans="1:1" x14ac:dyDescent="0.75">
      <c r="A897" s="1"/>
    </row>
    <row r="898" spans="1:1" x14ac:dyDescent="0.75">
      <c r="A898" s="1"/>
    </row>
    <row r="899" spans="1:1" x14ac:dyDescent="0.75">
      <c r="A899" s="1"/>
    </row>
    <row r="900" spans="1:1" x14ac:dyDescent="0.75">
      <c r="A900" s="1"/>
    </row>
    <row r="901" spans="1:1" x14ac:dyDescent="0.75">
      <c r="A901" s="1"/>
    </row>
    <row r="902" spans="1:1" x14ac:dyDescent="0.75">
      <c r="A902" s="1"/>
    </row>
    <row r="903" spans="1:1" x14ac:dyDescent="0.75">
      <c r="A903" s="1"/>
    </row>
    <row r="904" spans="1:1" x14ac:dyDescent="0.75">
      <c r="A904" s="1"/>
    </row>
    <row r="905" spans="1:1" x14ac:dyDescent="0.75">
      <c r="A905" s="2"/>
    </row>
    <row r="906" spans="1:1" x14ac:dyDescent="0.75">
      <c r="A906" s="2"/>
    </row>
    <row r="907" spans="1:1" x14ac:dyDescent="0.75">
      <c r="A907" s="1"/>
    </row>
    <row r="908" spans="1:1" x14ac:dyDescent="0.75">
      <c r="A908" s="1"/>
    </row>
    <row r="909" spans="1:1" x14ac:dyDescent="0.75">
      <c r="A909" s="1"/>
    </row>
    <row r="910" spans="1:1" x14ac:dyDescent="0.75">
      <c r="A910" s="1"/>
    </row>
    <row r="911" spans="1:1" x14ac:dyDescent="0.75">
      <c r="A911" s="1"/>
    </row>
    <row r="912" spans="1:1" x14ac:dyDescent="0.75">
      <c r="A912" s="1"/>
    </row>
    <row r="913" spans="1:1" x14ac:dyDescent="0.75">
      <c r="A913" s="1"/>
    </row>
    <row r="914" spans="1:1" x14ac:dyDescent="0.75">
      <c r="A914" s="1"/>
    </row>
    <row r="915" spans="1:1" x14ac:dyDescent="0.75">
      <c r="A915" s="1"/>
    </row>
    <row r="916" spans="1:1" x14ac:dyDescent="0.75">
      <c r="A916" s="2"/>
    </row>
    <row r="917" spans="1:1" x14ac:dyDescent="0.75">
      <c r="A917" s="1"/>
    </row>
    <row r="918" spans="1:1" x14ac:dyDescent="0.75">
      <c r="A918" s="1"/>
    </row>
    <row r="919" spans="1:1" x14ac:dyDescent="0.75">
      <c r="A919" s="1"/>
    </row>
    <row r="920" spans="1:1" x14ac:dyDescent="0.75">
      <c r="A920" s="1"/>
    </row>
    <row r="921" spans="1:1" x14ac:dyDescent="0.75">
      <c r="A921" s="2"/>
    </row>
    <row r="922" spans="1:1" x14ac:dyDescent="0.75">
      <c r="A922" s="1"/>
    </row>
    <row r="923" spans="1:1" x14ac:dyDescent="0.75">
      <c r="A923" s="1"/>
    </row>
    <row r="924" spans="1:1" x14ac:dyDescent="0.75">
      <c r="A924" s="1"/>
    </row>
    <row r="925" spans="1:1" x14ac:dyDescent="0.75">
      <c r="A925" s="1"/>
    </row>
    <row r="926" spans="1:1" x14ac:dyDescent="0.75">
      <c r="A926" s="1"/>
    </row>
    <row r="927" spans="1:1" x14ac:dyDescent="0.75">
      <c r="A927" s="1"/>
    </row>
    <row r="928" spans="1:1" x14ac:dyDescent="0.75">
      <c r="A928" s="1"/>
    </row>
    <row r="929" spans="1:1" x14ac:dyDescent="0.75">
      <c r="A929" s="1"/>
    </row>
    <row r="930" spans="1:1" x14ac:dyDescent="0.75">
      <c r="A930" s="1"/>
    </row>
    <row r="931" spans="1:1" x14ac:dyDescent="0.75">
      <c r="A931" s="1"/>
    </row>
    <row r="932" spans="1:1" x14ac:dyDescent="0.75">
      <c r="A932" s="1"/>
    </row>
    <row r="933" spans="1:1" x14ac:dyDescent="0.75">
      <c r="A933" s="1"/>
    </row>
    <row r="934" spans="1:1" x14ac:dyDescent="0.75">
      <c r="A934" s="1"/>
    </row>
    <row r="935" spans="1:1" x14ac:dyDescent="0.75">
      <c r="A935" s="1"/>
    </row>
    <row r="936" spans="1:1" x14ac:dyDescent="0.75">
      <c r="A936" s="1"/>
    </row>
    <row r="937" spans="1:1" x14ac:dyDescent="0.75">
      <c r="A937" s="1"/>
    </row>
    <row r="938" spans="1:1" x14ac:dyDescent="0.75">
      <c r="A938" s="1"/>
    </row>
    <row r="939" spans="1:1" x14ac:dyDescent="0.75">
      <c r="A939" s="1"/>
    </row>
    <row r="940" spans="1:1" x14ac:dyDescent="0.75">
      <c r="A940" s="1"/>
    </row>
    <row r="941" spans="1:1" x14ac:dyDescent="0.75">
      <c r="A941" s="1"/>
    </row>
    <row r="942" spans="1:1" x14ac:dyDescent="0.75">
      <c r="A942" s="1"/>
    </row>
    <row r="943" spans="1:1" x14ac:dyDescent="0.75">
      <c r="A943" s="1"/>
    </row>
    <row r="944" spans="1:1" x14ac:dyDescent="0.75">
      <c r="A944" s="1"/>
    </row>
    <row r="945" spans="1:1" x14ac:dyDescent="0.75">
      <c r="A945" s="1"/>
    </row>
    <row r="946" spans="1:1" x14ac:dyDescent="0.75">
      <c r="A946" s="1"/>
    </row>
    <row r="947" spans="1:1" x14ac:dyDescent="0.75">
      <c r="A947" s="1"/>
    </row>
    <row r="948" spans="1:1" x14ac:dyDescent="0.75">
      <c r="A948" s="1"/>
    </row>
    <row r="949" spans="1:1" x14ac:dyDescent="0.75">
      <c r="A949" s="1"/>
    </row>
    <row r="950" spans="1:1" x14ac:dyDescent="0.75">
      <c r="A950" s="1"/>
    </row>
    <row r="951" spans="1:1" x14ac:dyDescent="0.75">
      <c r="A951" s="1"/>
    </row>
    <row r="952" spans="1:1" x14ac:dyDescent="0.75">
      <c r="A952" s="1"/>
    </row>
    <row r="953" spans="1:1" x14ac:dyDescent="0.75">
      <c r="A953" s="1"/>
    </row>
    <row r="954" spans="1:1" x14ac:dyDescent="0.75">
      <c r="A954" s="1"/>
    </row>
    <row r="955" spans="1:1" x14ac:dyDescent="0.75">
      <c r="A955" s="1"/>
    </row>
    <row r="956" spans="1:1" x14ac:dyDescent="0.75">
      <c r="A956" s="1"/>
    </row>
    <row r="957" spans="1:1" x14ac:dyDescent="0.75">
      <c r="A957" s="1"/>
    </row>
    <row r="958" spans="1:1" x14ac:dyDescent="0.75">
      <c r="A958" s="1"/>
    </row>
    <row r="959" spans="1:1" x14ac:dyDescent="0.75">
      <c r="A959" s="2"/>
    </row>
    <row r="960" spans="1:1" x14ac:dyDescent="0.75">
      <c r="A960" s="1"/>
    </row>
    <row r="961" spans="1:1" x14ac:dyDescent="0.75">
      <c r="A961" s="1"/>
    </row>
    <row r="962" spans="1:1" x14ac:dyDescent="0.75">
      <c r="A962" s="1"/>
    </row>
    <row r="963" spans="1:1" x14ac:dyDescent="0.75">
      <c r="A963" s="1"/>
    </row>
    <row r="964" spans="1:1" x14ac:dyDescent="0.75">
      <c r="A964" s="2"/>
    </row>
    <row r="965" spans="1:1" x14ac:dyDescent="0.75">
      <c r="A965" s="1"/>
    </row>
    <row r="966" spans="1:1" x14ac:dyDescent="0.75">
      <c r="A966" s="1"/>
    </row>
    <row r="967" spans="1:1" x14ac:dyDescent="0.75">
      <c r="A967" s="1"/>
    </row>
    <row r="968" spans="1:1" x14ac:dyDescent="0.75">
      <c r="A968" s="1"/>
    </row>
    <row r="969" spans="1:1" x14ac:dyDescent="0.75">
      <c r="A969" s="1"/>
    </row>
    <row r="970" spans="1:1" x14ac:dyDescent="0.75">
      <c r="A970" s="1"/>
    </row>
    <row r="971" spans="1:1" x14ac:dyDescent="0.75">
      <c r="A971" s="1"/>
    </row>
    <row r="972" spans="1:1" x14ac:dyDescent="0.75">
      <c r="A972" s="1"/>
    </row>
    <row r="973" spans="1:1" x14ac:dyDescent="0.75">
      <c r="A973" s="1"/>
    </row>
    <row r="974" spans="1:1" x14ac:dyDescent="0.75">
      <c r="A974" s="1"/>
    </row>
    <row r="975" spans="1:1" x14ac:dyDescent="0.75">
      <c r="A975" s="1"/>
    </row>
    <row r="976" spans="1:1" x14ac:dyDescent="0.75">
      <c r="A976" s="1"/>
    </row>
    <row r="977" spans="1:1" x14ac:dyDescent="0.75">
      <c r="A977" s="1"/>
    </row>
    <row r="978" spans="1:1" x14ac:dyDescent="0.75">
      <c r="A978" s="1"/>
    </row>
    <row r="979" spans="1:1" x14ac:dyDescent="0.75">
      <c r="A979" s="1"/>
    </row>
    <row r="980" spans="1:1" x14ac:dyDescent="0.75">
      <c r="A980" s="1"/>
    </row>
    <row r="981" spans="1:1" x14ac:dyDescent="0.75">
      <c r="A981" s="1"/>
    </row>
    <row r="982" spans="1:1" x14ac:dyDescent="0.75">
      <c r="A982" s="1"/>
    </row>
    <row r="983" spans="1:1" x14ac:dyDescent="0.75">
      <c r="A983" s="1"/>
    </row>
    <row r="984" spans="1:1" x14ac:dyDescent="0.75">
      <c r="A984" s="1"/>
    </row>
    <row r="985" spans="1:1" x14ac:dyDescent="0.75">
      <c r="A985" s="1"/>
    </row>
    <row r="986" spans="1:1" x14ac:dyDescent="0.75">
      <c r="A986" s="2"/>
    </row>
    <row r="987" spans="1:1" x14ac:dyDescent="0.75">
      <c r="A987" s="1"/>
    </row>
    <row r="988" spans="1:1" x14ac:dyDescent="0.75">
      <c r="A988" s="2"/>
    </row>
    <row r="989" spans="1:1" x14ac:dyDescent="0.75">
      <c r="A989" s="2"/>
    </row>
    <row r="990" spans="1:1" x14ac:dyDescent="0.75">
      <c r="A990" s="2"/>
    </row>
    <row r="991" spans="1:1" x14ac:dyDescent="0.75">
      <c r="A991" s="1"/>
    </row>
    <row r="992" spans="1:1" x14ac:dyDescent="0.75">
      <c r="A992" s="1"/>
    </row>
    <row r="993" spans="1:1" x14ac:dyDescent="0.75">
      <c r="A993" s="1"/>
    </row>
    <row r="994" spans="1:1" x14ac:dyDescent="0.75">
      <c r="A994" s="2"/>
    </row>
    <row r="995" spans="1:1" x14ac:dyDescent="0.75">
      <c r="A995" s="1"/>
    </row>
    <row r="996" spans="1:1" x14ac:dyDescent="0.75">
      <c r="A996" s="2"/>
    </row>
    <row r="997" spans="1:1" x14ac:dyDescent="0.75">
      <c r="A997" s="2"/>
    </row>
    <row r="998" spans="1:1" x14ac:dyDescent="0.75">
      <c r="A998" s="1"/>
    </row>
    <row r="999" spans="1:1" x14ac:dyDescent="0.75">
      <c r="A999" s="1"/>
    </row>
    <row r="1000" spans="1:1" x14ac:dyDescent="0.75">
      <c r="A1000" s="1"/>
    </row>
    <row r="1001" spans="1:1" x14ac:dyDescent="0.75">
      <c r="A1001" s="1"/>
    </row>
    <row r="1002" spans="1:1" x14ac:dyDescent="0.75">
      <c r="A1002" s="1"/>
    </row>
    <row r="1003" spans="1:1" x14ac:dyDescent="0.75">
      <c r="A1003" s="1"/>
    </row>
    <row r="1004" spans="1:1" x14ac:dyDescent="0.75">
      <c r="A1004" s="1"/>
    </row>
    <row r="1005" spans="1:1" x14ac:dyDescent="0.75">
      <c r="A1005" s="1"/>
    </row>
    <row r="1006" spans="1:1" x14ac:dyDescent="0.75">
      <c r="A1006" s="1"/>
    </row>
    <row r="1007" spans="1:1" x14ac:dyDescent="0.75">
      <c r="A1007" s="1"/>
    </row>
    <row r="1008" spans="1:1" x14ac:dyDescent="0.75">
      <c r="A1008" s="1"/>
    </row>
    <row r="1009" spans="1:1" x14ac:dyDescent="0.75">
      <c r="A1009" s="1"/>
    </row>
    <row r="1010" spans="1:1" x14ac:dyDescent="0.75">
      <c r="A1010" s="1"/>
    </row>
    <row r="1011" spans="1:1" x14ac:dyDescent="0.75">
      <c r="A1011" s="1"/>
    </row>
    <row r="1012" spans="1:1" x14ac:dyDescent="0.75">
      <c r="A1012" s="1"/>
    </row>
    <row r="1013" spans="1:1" x14ac:dyDescent="0.75">
      <c r="A1013" s="1"/>
    </row>
    <row r="1014" spans="1:1" x14ac:dyDescent="0.75">
      <c r="A1014" s="1"/>
    </row>
    <row r="1015" spans="1:1" x14ac:dyDescent="0.75">
      <c r="A1015" s="1"/>
    </row>
    <row r="1016" spans="1:1" x14ac:dyDescent="0.75">
      <c r="A1016" s="1"/>
    </row>
    <row r="1017" spans="1:1" x14ac:dyDescent="0.75">
      <c r="A1017" s="2"/>
    </row>
    <row r="1018" spans="1:1" x14ac:dyDescent="0.75">
      <c r="A1018" s="2"/>
    </row>
    <row r="1019" spans="1:1" x14ac:dyDescent="0.75">
      <c r="A1019" s="2"/>
    </row>
    <row r="1020" spans="1:1" x14ac:dyDescent="0.75">
      <c r="A1020" s="2"/>
    </row>
    <row r="1021" spans="1:1" x14ac:dyDescent="0.75">
      <c r="A1021" s="2"/>
    </row>
    <row r="1022" spans="1:1" x14ac:dyDescent="0.75">
      <c r="A1022" s="2"/>
    </row>
    <row r="1023" spans="1:1" x14ac:dyDescent="0.75">
      <c r="A1023" s="1"/>
    </row>
    <row r="1024" spans="1:1" x14ac:dyDescent="0.75">
      <c r="A1024" s="1"/>
    </row>
    <row r="1025" spans="1:1" x14ac:dyDescent="0.75">
      <c r="A1025" s="1"/>
    </row>
    <row r="1026" spans="1:1" x14ac:dyDescent="0.75">
      <c r="A1026" s="1"/>
    </row>
    <row r="1027" spans="1:1" x14ac:dyDescent="0.75">
      <c r="A1027" s="1"/>
    </row>
    <row r="1028" spans="1:1" x14ac:dyDescent="0.75">
      <c r="A1028" s="2"/>
    </row>
    <row r="1029" spans="1:1" x14ac:dyDescent="0.75">
      <c r="A1029" s="1"/>
    </row>
    <row r="1030" spans="1:1" x14ac:dyDescent="0.75">
      <c r="A1030" s="2"/>
    </row>
    <row r="1031" spans="1:1" x14ac:dyDescent="0.75">
      <c r="A1031" s="1"/>
    </row>
    <row r="1032" spans="1:1" x14ac:dyDescent="0.75">
      <c r="A1032" s="2"/>
    </row>
    <row r="1033" spans="1:1" x14ac:dyDescent="0.75">
      <c r="A1033" s="1"/>
    </row>
    <row r="1034" spans="1:1" x14ac:dyDescent="0.75">
      <c r="A1034" s="1"/>
    </row>
    <row r="1035" spans="1:1" x14ac:dyDescent="0.75">
      <c r="A1035" s="1"/>
    </row>
    <row r="1036" spans="1:1" x14ac:dyDescent="0.75">
      <c r="A1036" s="1"/>
    </row>
    <row r="1037" spans="1:1" x14ac:dyDescent="0.75">
      <c r="A1037" s="1"/>
    </row>
    <row r="1038" spans="1:1" x14ac:dyDescent="0.75">
      <c r="A1038" s="1"/>
    </row>
    <row r="1039" spans="1:1" x14ac:dyDescent="0.75">
      <c r="A1039" s="1"/>
    </row>
    <row r="1040" spans="1:1" x14ac:dyDescent="0.75">
      <c r="A1040" s="1"/>
    </row>
    <row r="1041" spans="1:1" x14ac:dyDescent="0.75">
      <c r="A1041" s="1"/>
    </row>
    <row r="1042" spans="1:1" x14ac:dyDescent="0.75">
      <c r="A1042" s="1"/>
    </row>
    <row r="1043" spans="1:1" x14ac:dyDescent="0.75">
      <c r="A1043" s="1"/>
    </row>
    <row r="1044" spans="1:1" x14ac:dyDescent="0.75">
      <c r="A1044" s="1"/>
    </row>
    <row r="1045" spans="1:1" x14ac:dyDescent="0.75">
      <c r="A1045" s="1"/>
    </row>
    <row r="1046" spans="1:1" x14ac:dyDescent="0.75">
      <c r="A1046" s="1"/>
    </row>
    <row r="1047" spans="1:1" x14ac:dyDescent="0.75">
      <c r="A1047" s="1"/>
    </row>
    <row r="1048" spans="1:1" x14ac:dyDescent="0.75">
      <c r="A1048" s="1"/>
    </row>
    <row r="1049" spans="1:1" x14ac:dyDescent="0.75">
      <c r="A1049" s="1"/>
    </row>
    <row r="1050" spans="1:1" x14ac:dyDescent="0.75">
      <c r="A1050" s="1"/>
    </row>
    <row r="1051" spans="1:1" x14ac:dyDescent="0.75">
      <c r="A1051" s="1"/>
    </row>
    <row r="1052" spans="1:1" x14ac:dyDescent="0.75">
      <c r="A1052" s="1"/>
    </row>
    <row r="1053" spans="1:1" x14ac:dyDescent="0.75">
      <c r="A1053" s="1"/>
    </row>
    <row r="1054" spans="1:1" x14ac:dyDescent="0.75">
      <c r="A1054" s="1"/>
    </row>
    <row r="1055" spans="1:1" x14ac:dyDescent="0.75">
      <c r="A1055" s="1"/>
    </row>
    <row r="1056" spans="1:1" x14ac:dyDescent="0.75">
      <c r="A1056" s="1"/>
    </row>
    <row r="1057" spans="1:1" x14ac:dyDescent="0.75">
      <c r="A1057" s="1"/>
    </row>
    <row r="1058" spans="1:1" x14ac:dyDescent="0.75">
      <c r="A1058" s="1"/>
    </row>
    <row r="1059" spans="1:1" x14ac:dyDescent="0.75">
      <c r="A1059" s="1"/>
    </row>
    <row r="1060" spans="1:1" x14ac:dyDescent="0.75">
      <c r="A1060" s="1"/>
    </row>
    <row r="1061" spans="1:1" x14ac:dyDescent="0.75">
      <c r="A1061" s="1"/>
    </row>
    <row r="1062" spans="1:1" x14ac:dyDescent="0.75">
      <c r="A1062" s="1"/>
    </row>
    <row r="1063" spans="1:1" x14ac:dyDescent="0.75">
      <c r="A1063" s="1"/>
    </row>
    <row r="1064" spans="1:1" x14ac:dyDescent="0.75">
      <c r="A1064" s="1"/>
    </row>
    <row r="1065" spans="1:1" x14ac:dyDescent="0.75">
      <c r="A1065" s="1"/>
    </row>
    <row r="1066" spans="1:1" x14ac:dyDescent="0.75">
      <c r="A1066" s="1"/>
    </row>
    <row r="1067" spans="1:1" x14ac:dyDescent="0.75">
      <c r="A1067" s="1"/>
    </row>
    <row r="1068" spans="1:1" x14ac:dyDescent="0.75">
      <c r="A1068" s="1"/>
    </row>
    <row r="1069" spans="1:1" x14ac:dyDescent="0.75">
      <c r="A1069" s="1"/>
    </row>
    <row r="1070" spans="1:1" x14ac:dyDescent="0.75">
      <c r="A1070" s="1"/>
    </row>
    <row r="1071" spans="1:1" x14ac:dyDescent="0.75">
      <c r="A1071" s="1"/>
    </row>
    <row r="1072" spans="1:1" x14ac:dyDescent="0.75">
      <c r="A1072" s="1"/>
    </row>
    <row r="1073" spans="1:1" x14ac:dyDescent="0.75">
      <c r="A1073" s="1"/>
    </row>
    <row r="1074" spans="1:1" x14ac:dyDescent="0.75">
      <c r="A1074" s="1"/>
    </row>
    <row r="1075" spans="1:1" x14ac:dyDescent="0.75">
      <c r="A1075" s="1"/>
    </row>
    <row r="1076" spans="1:1" x14ac:dyDescent="0.75">
      <c r="A1076" s="1"/>
    </row>
    <row r="1077" spans="1:1" x14ac:dyDescent="0.75">
      <c r="A1077" s="1"/>
    </row>
    <row r="1078" spans="1:1" x14ac:dyDescent="0.75">
      <c r="A1078" s="1"/>
    </row>
    <row r="1079" spans="1:1" x14ac:dyDescent="0.75">
      <c r="A1079" s="1"/>
    </row>
    <row r="1080" spans="1:1" x14ac:dyDescent="0.75">
      <c r="A1080" s="1"/>
    </row>
    <row r="1081" spans="1:1" x14ac:dyDescent="0.75">
      <c r="A1081" s="1"/>
    </row>
    <row r="1082" spans="1:1" x14ac:dyDescent="0.75">
      <c r="A1082" s="1"/>
    </row>
    <row r="1083" spans="1:1" x14ac:dyDescent="0.75">
      <c r="A1083" s="1"/>
    </row>
    <row r="1084" spans="1:1" x14ac:dyDescent="0.75">
      <c r="A1084" s="1"/>
    </row>
    <row r="1085" spans="1:1" x14ac:dyDescent="0.75">
      <c r="A1085" s="2"/>
    </row>
    <row r="1086" spans="1:1" x14ac:dyDescent="0.75">
      <c r="A1086" s="1"/>
    </row>
    <row r="1087" spans="1:1" x14ac:dyDescent="0.75">
      <c r="A1087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B8B36-78BD-4E82-9277-287EC7962518}">
  <sheetPr codeName="Sheet3"/>
  <dimension ref="A1:K458"/>
  <sheetViews>
    <sheetView topLeftCell="B1" workbookViewId="0">
      <selection activeCell="E214" sqref="E214"/>
    </sheetView>
  </sheetViews>
  <sheetFormatPr defaultRowHeight="14.75" x14ac:dyDescent="0.75"/>
  <cols>
    <col min="1" max="1" width="39.6796875" customWidth="1"/>
    <col min="2" max="2" width="11.86328125" customWidth="1"/>
    <col min="3" max="3" width="37.6328125" customWidth="1"/>
    <col min="4" max="4" width="39.1328125" customWidth="1"/>
    <col min="6" max="6" width="31.5" customWidth="1"/>
  </cols>
  <sheetData>
    <row r="1" spans="1:11" x14ac:dyDescent="0.75">
      <c r="A1" t="str">
        <f t="shared" ref="A1:A20" si="0">LEFT(D1,FIND(" (",D1&amp;" ("))</f>
        <v>https://vgmdb.net/album/135059</v>
      </c>
      <c r="B1" t="s">
        <v>219</v>
      </c>
      <c r="C1" t="str">
        <f t="shared" ref="C1:C32" si="1">LEFT(F1,FIND(" | ",F1)-1)</f>
        <v>GA-025</v>
      </c>
      <c r="D1" t="str">
        <f t="shared" ref="D1:D20" si="2">MID(F1,FIND(" | ",F1)+3,100)</f>
        <v>https://vgmdb.net/album/135059</v>
      </c>
      <c r="E1">
        <f>COUNTIF($C1:$C$234,C1)-1</f>
        <v>0</v>
      </c>
      <c r="F1" t="s">
        <v>0</v>
      </c>
    </row>
    <row r="2" spans="1:11" x14ac:dyDescent="0.75">
      <c r="A2" t="str">
        <f t="shared" si="0"/>
        <v>https://vgmdb.net/album/42415</v>
      </c>
      <c r="B2" t="s">
        <v>219</v>
      </c>
      <c r="C2" t="str">
        <f t="shared" si="1"/>
        <v>KICA-23</v>
      </c>
      <c r="D2" t="str">
        <f t="shared" si="2"/>
        <v>https://vgmdb.net/album/42415</v>
      </c>
      <c r="E2">
        <f>COUNTIF($C2:$C$234,C2)-1</f>
        <v>0</v>
      </c>
      <c r="F2" t="s">
        <v>1</v>
      </c>
      <c r="K2">
        <f>IF(ISERROR(MATCH(C2,C$1:C1,0)),0,1)</f>
        <v>0</v>
      </c>
    </row>
    <row r="3" spans="1:11" x14ac:dyDescent="0.75">
      <c r="A3" t="str">
        <f t="shared" si="0"/>
        <v>https://vgmdb.net/album/63864</v>
      </c>
      <c r="B3" t="s">
        <v>219</v>
      </c>
      <c r="C3" t="str">
        <f t="shared" si="1"/>
        <v>KICA-71</v>
      </c>
      <c r="D3" t="str">
        <f t="shared" si="2"/>
        <v>https://vgmdb.net/album/63864</v>
      </c>
      <c r="E3">
        <f>COUNTIF($C3:$C$234,C3)-1</f>
        <v>0</v>
      </c>
      <c r="F3" t="s">
        <v>2</v>
      </c>
      <c r="K3">
        <f>IF(ISERROR(MATCH(C3,C$1:C2,0)),0,1)</f>
        <v>0</v>
      </c>
    </row>
    <row r="4" spans="1:11" x14ac:dyDescent="0.75">
      <c r="A4" t="str">
        <f t="shared" si="0"/>
        <v>https://vgmdb.net/album/46791</v>
      </c>
      <c r="B4" t="s">
        <v>219</v>
      </c>
      <c r="C4" t="str">
        <f t="shared" si="1"/>
        <v>VICL-129</v>
      </c>
      <c r="D4" t="str">
        <f t="shared" si="2"/>
        <v>https://vgmdb.net/album/46791</v>
      </c>
      <c r="E4">
        <f>COUNTIF($C4:$C$234,C4)-1</f>
        <v>0</v>
      </c>
      <c r="F4" t="s">
        <v>4</v>
      </c>
      <c r="K4">
        <f>IF(ISERROR(MATCH(C4,C$1:C3,0)),0,1)</f>
        <v>0</v>
      </c>
    </row>
    <row r="5" spans="1:11" x14ac:dyDescent="0.75">
      <c r="A5" t="str">
        <f t="shared" si="0"/>
        <v>https://vgmdb.net/album/59406</v>
      </c>
      <c r="B5" t="s">
        <v>219</v>
      </c>
      <c r="C5" t="str">
        <f t="shared" si="1"/>
        <v>PCCG-00201</v>
      </c>
      <c r="D5" t="str">
        <f t="shared" si="2"/>
        <v>https://vgmdb.net/album/59406</v>
      </c>
      <c r="E5">
        <f>COUNTIF($C5:$C$234,C5)-1</f>
        <v>0</v>
      </c>
      <c r="F5" t="s">
        <v>6</v>
      </c>
      <c r="K5">
        <f>IF(ISERROR(MATCH(C5,C$1:C4,0)),0,1)</f>
        <v>0</v>
      </c>
    </row>
    <row r="6" spans="1:11" x14ac:dyDescent="0.75">
      <c r="A6" t="str">
        <f t="shared" si="0"/>
        <v>https://vgmdb.net/album/49777</v>
      </c>
      <c r="B6" t="s">
        <v>219</v>
      </c>
      <c r="C6" t="str">
        <f t="shared" si="1"/>
        <v>PCCG-00258</v>
      </c>
      <c r="D6" t="str">
        <f t="shared" si="2"/>
        <v>https://vgmdb.net/album/49777</v>
      </c>
      <c r="E6">
        <f>COUNTIF($C6:$C$234,C6)-1</f>
        <v>0</v>
      </c>
      <c r="F6" t="s">
        <v>7</v>
      </c>
      <c r="K6">
        <f>IF(ISERROR(MATCH(C6,C$1:C5,0)),0,1)</f>
        <v>0</v>
      </c>
    </row>
    <row r="7" spans="1:11" x14ac:dyDescent="0.75">
      <c r="A7" t="str">
        <f t="shared" si="0"/>
        <v>https://vgmdb.net/album/59491</v>
      </c>
      <c r="B7" t="s">
        <v>219</v>
      </c>
      <c r="C7" t="str">
        <f t="shared" si="1"/>
        <v>PCCG-00246</v>
      </c>
      <c r="D7" t="str">
        <f t="shared" si="2"/>
        <v>https://vgmdb.net/album/59491</v>
      </c>
      <c r="E7">
        <f>COUNTIF($C7:$C$234,C7)-1</f>
        <v>0</v>
      </c>
      <c r="F7" t="s">
        <v>8</v>
      </c>
      <c r="K7">
        <f>IF(ISERROR(MATCH(C7,C$1:C6,0)),0,1)</f>
        <v>0</v>
      </c>
    </row>
    <row r="8" spans="1:11" x14ac:dyDescent="0.75">
      <c r="A8" t="str">
        <f t="shared" si="0"/>
        <v>https://vgmdb.net/album/16438</v>
      </c>
      <c r="B8" t="s">
        <v>219</v>
      </c>
      <c r="C8" t="str">
        <f t="shared" si="1"/>
        <v>PCCG-00556</v>
      </c>
      <c r="D8" t="str">
        <f t="shared" si="2"/>
        <v>https://vgmdb.net/album/16438</v>
      </c>
      <c r="E8">
        <f>COUNTIF($C8:$C$234,C8)-1</f>
        <v>0</v>
      </c>
      <c r="F8" t="s">
        <v>9</v>
      </c>
      <c r="K8">
        <f>IF(ISERROR(MATCH(C8,C$1:C7,0)),0,1)</f>
        <v>0</v>
      </c>
    </row>
    <row r="9" spans="1:11" x14ac:dyDescent="0.75">
      <c r="A9" t="str">
        <f t="shared" si="0"/>
        <v>https://vgmdb.net/album/40100</v>
      </c>
      <c r="B9" t="s">
        <v>219</v>
      </c>
      <c r="C9" t="str">
        <f t="shared" si="1"/>
        <v>5236-2</v>
      </c>
      <c r="D9" t="str">
        <f t="shared" si="2"/>
        <v>https://vgmdb.net/album/40100</v>
      </c>
      <c r="E9">
        <f>COUNTIF($C9:$C$234,C9)-1</f>
        <v>0</v>
      </c>
      <c r="F9" t="s">
        <v>10</v>
      </c>
      <c r="K9">
        <f>IF(ISERROR(MATCH(C9,C$1:C8,0)),0,1)</f>
        <v>0</v>
      </c>
    </row>
    <row r="10" spans="1:11" x14ac:dyDescent="0.75">
      <c r="A10" t="str">
        <f t="shared" si="0"/>
        <v>https://vgmdb.net/album/40118</v>
      </c>
      <c r="B10" t="s">
        <v>219</v>
      </c>
      <c r="C10" t="str">
        <f t="shared" si="1"/>
        <v>5211-2</v>
      </c>
      <c r="D10" t="str">
        <f t="shared" si="2"/>
        <v>https://vgmdb.net/album/40118</v>
      </c>
      <c r="E10">
        <f>COUNTIF($C10:$C$234,C10)-1</f>
        <v>0</v>
      </c>
      <c r="F10" t="s">
        <v>11</v>
      </c>
      <c r="K10">
        <f>IF(ISERROR(MATCH(C10,C$1:C9,0)),0,1)</f>
        <v>0</v>
      </c>
    </row>
    <row r="11" spans="1:11" x14ac:dyDescent="0.75">
      <c r="A11" t="str">
        <f t="shared" si="0"/>
        <v>https://vgmdb.net/album/40516</v>
      </c>
      <c r="B11" t="s">
        <v>219</v>
      </c>
      <c r="C11" t="str">
        <f t="shared" si="1"/>
        <v>KICA-192</v>
      </c>
      <c r="D11" t="str">
        <f t="shared" si="2"/>
        <v>https://vgmdb.net/album/40516</v>
      </c>
      <c r="E11">
        <f>COUNTIF($C11:$C$234,C11)-1</f>
        <v>0</v>
      </c>
      <c r="F11" t="s">
        <v>12</v>
      </c>
      <c r="K11">
        <f>IF(ISERROR(MATCH(C11,C$1:C10,0)),0,1)</f>
        <v>0</v>
      </c>
    </row>
    <row r="12" spans="1:11" x14ac:dyDescent="0.75">
      <c r="A12" t="str">
        <f t="shared" si="0"/>
        <v>https://vgmdb.net/album/70500</v>
      </c>
      <c r="B12" t="s">
        <v>219</v>
      </c>
      <c r="C12" t="str">
        <f t="shared" si="1"/>
        <v>KICA-216</v>
      </c>
      <c r="D12" t="str">
        <f t="shared" si="2"/>
        <v>https://vgmdb.net/album/70500</v>
      </c>
      <c r="E12">
        <f>COUNTIF($C12:$C$234,C12)-1</f>
        <v>0</v>
      </c>
      <c r="F12" t="s">
        <v>13</v>
      </c>
      <c r="K12">
        <f>IF(ISERROR(MATCH(C12,C$1:C11,0)),0,1)</f>
        <v>0</v>
      </c>
    </row>
    <row r="13" spans="1:11" x14ac:dyDescent="0.75">
      <c r="A13" t="str">
        <f t="shared" si="0"/>
        <v>https://vgmdb.net/album/70501</v>
      </c>
      <c r="B13" t="s">
        <v>219</v>
      </c>
      <c r="C13" t="str">
        <f t="shared" si="1"/>
        <v>KICA-224</v>
      </c>
      <c r="D13" t="str">
        <f t="shared" si="2"/>
        <v>https://vgmdb.net/album/70501</v>
      </c>
      <c r="E13">
        <f>COUNTIF($C13:$C$234,C13)-1</f>
        <v>0</v>
      </c>
      <c r="F13" t="s">
        <v>14</v>
      </c>
      <c r="K13">
        <f>IF(ISERROR(MATCH(C13,C$1:C12,0)),0,1)</f>
        <v>0</v>
      </c>
    </row>
    <row r="14" spans="1:11" x14ac:dyDescent="0.75">
      <c r="A14" t="str">
        <f t="shared" si="0"/>
        <v>https://vgmdb.net/album/81439</v>
      </c>
      <c r="B14" t="s">
        <v>219</v>
      </c>
      <c r="C14" t="str">
        <f t="shared" si="1"/>
        <v>ALCA-8148</v>
      </c>
      <c r="D14" t="str">
        <f t="shared" si="2"/>
        <v>https://vgmdb.net/album/81439</v>
      </c>
      <c r="E14">
        <f>COUNTIF($C14:$C$234,C14)-1</f>
        <v>0</v>
      </c>
      <c r="F14" t="s">
        <v>15</v>
      </c>
      <c r="K14">
        <f>IF(ISERROR(MATCH(C14,C$1:C13,0)),0,1)</f>
        <v>0</v>
      </c>
    </row>
    <row r="15" spans="1:11" x14ac:dyDescent="0.75">
      <c r="A15" t="str">
        <f t="shared" si="0"/>
        <v xml:space="preserve">https://vgmdb.net/album/41799 </v>
      </c>
      <c r="B15" t="s">
        <v>219</v>
      </c>
      <c r="C15" t="str">
        <f t="shared" si="1"/>
        <v>ALCA-8113</v>
      </c>
      <c r="D15" t="str">
        <f t="shared" si="2"/>
        <v>https://vgmdb.net/album/41799 (LACA-5145)</v>
      </c>
      <c r="E15">
        <f>COUNTIF($C15:$C$234,C15)-1</f>
        <v>0</v>
      </c>
      <c r="F15" t="s">
        <v>16</v>
      </c>
      <c r="K15">
        <f>IF(ISERROR(MATCH(C15,C$1:C14,0)),0,1)</f>
        <v>0</v>
      </c>
    </row>
    <row r="16" spans="1:11" x14ac:dyDescent="0.75">
      <c r="A16" t="str">
        <f t="shared" si="0"/>
        <v>https://vgmdb.net/album/29619</v>
      </c>
      <c r="B16" t="s">
        <v>219</v>
      </c>
      <c r="C16" t="str">
        <f t="shared" si="1"/>
        <v>5345-2</v>
      </c>
      <c r="D16" t="str">
        <f t="shared" si="2"/>
        <v>https://vgmdb.net/album/29619</v>
      </c>
      <c r="E16">
        <f>COUNTIF($C16:$C$234,C16)-1</f>
        <v>0</v>
      </c>
      <c r="F16" t="s">
        <v>17</v>
      </c>
      <c r="K16">
        <f>IF(ISERROR(MATCH(C16,C$1:C15,0)),0,1)</f>
        <v>0</v>
      </c>
    </row>
    <row r="17" spans="1:11" x14ac:dyDescent="0.75">
      <c r="A17" t="str">
        <f t="shared" si="0"/>
        <v>https://vgmdb.net/album/54716</v>
      </c>
      <c r="B17" t="s">
        <v>219</v>
      </c>
      <c r="C17" t="str">
        <f t="shared" si="1"/>
        <v>GGG-238</v>
      </c>
      <c r="D17" t="str">
        <f t="shared" si="2"/>
        <v>https://vgmdb.net/album/54716</v>
      </c>
      <c r="E17">
        <f>COUNTIF($C17:$C$234,C17)-1</f>
        <v>0</v>
      </c>
      <c r="F17" t="s">
        <v>18</v>
      </c>
      <c r="K17">
        <f>IF(ISERROR(MATCH(C17,C$1:C16,0)),0,1)</f>
        <v>0</v>
      </c>
    </row>
    <row r="18" spans="1:11" x14ac:dyDescent="0.75">
      <c r="A18" t="str">
        <f t="shared" si="0"/>
        <v>https://vgmdb.net/album/36655</v>
      </c>
      <c r="B18" t="s">
        <v>219</v>
      </c>
      <c r="C18" t="str">
        <f t="shared" si="1"/>
        <v>VICL-35153</v>
      </c>
      <c r="D18" t="str">
        <f t="shared" si="2"/>
        <v>https://vgmdb.net/album/36655</v>
      </c>
      <c r="E18">
        <f>COUNTIF($C18:$C$234,C18)-1</f>
        <v>0</v>
      </c>
      <c r="F18" t="s">
        <v>19</v>
      </c>
      <c r="K18">
        <f>IF(ISERROR(MATCH(C18,C$1:C17,0)),0,1)</f>
        <v>0</v>
      </c>
    </row>
    <row r="19" spans="1:11" x14ac:dyDescent="0.75">
      <c r="A19" t="str">
        <f t="shared" si="0"/>
        <v>https://vgmdb.net/album/54712</v>
      </c>
      <c r="B19" t="s">
        <v>219</v>
      </c>
      <c r="C19" t="str">
        <f t="shared" si="1"/>
        <v>GGG-220</v>
      </c>
      <c r="D19" t="str">
        <f t="shared" si="2"/>
        <v>https://vgmdb.net/album/54712</v>
      </c>
      <c r="E19">
        <f>COUNTIF($C19:$C$234,C19)-1</f>
        <v>0</v>
      </c>
      <c r="F19" t="s">
        <v>20</v>
      </c>
      <c r="K19">
        <f>IF(ISERROR(MATCH(C19,C$1:C18,0)),0,1)</f>
        <v>0</v>
      </c>
    </row>
    <row r="20" spans="1:11" x14ac:dyDescent="0.75">
      <c r="A20" t="str">
        <f t="shared" si="0"/>
        <v>https://vgmdb.net/album/54714</v>
      </c>
      <c r="B20" t="s">
        <v>219</v>
      </c>
      <c r="C20" t="str">
        <f t="shared" si="1"/>
        <v>GGG-287</v>
      </c>
      <c r="D20" t="str">
        <f t="shared" si="2"/>
        <v>https://vgmdb.net/album/54714</v>
      </c>
      <c r="E20">
        <f>COUNTIF($C20:$C$234,C20)-1</f>
        <v>0</v>
      </c>
      <c r="F20" t="s">
        <v>21</v>
      </c>
      <c r="K20">
        <f>IF(ISERROR(MATCH(C20,C$1:C19,0)),0,1)</f>
        <v>0</v>
      </c>
    </row>
    <row r="21" spans="1:11" x14ac:dyDescent="0.75">
      <c r="A21" t="str">
        <f t="shared" ref="A21:A83" si="3">LEFT(D21,FIND(" (",D21&amp;" ("))</f>
        <v>https://vgmdb.net/album/54724</v>
      </c>
      <c r="B21" t="s">
        <v>219</v>
      </c>
      <c r="C21" t="str">
        <f t="shared" si="1"/>
        <v>GGG-255</v>
      </c>
      <c r="D21" t="str">
        <f t="shared" ref="D21:D83" si="4">MID(F21,FIND(" | ",F21)+3,100)</f>
        <v>https://vgmdb.net/album/54724</v>
      </c>
      <c r="E21">
        <f>COUNTIF($C21:$C$234,C21)-1</f>
        <v>0</v>
      </c>
      <c r="F21" t="s">
        <v>22</v>
      </c>
      <c r="K21">
        <f>IF(ISERROR(MATCH(C21,C$1:C20,0)),0,1)</f>
        <v>0</v>
      </c>
    </row>
    <row r="22" spans="1:11" x14ac:dyDescent="0.75">
      <c r="A22" t="str">
        <f t="shared" si="3"/>
        <v>https://vgmdb.net/album/54721</v>
      </c>
      <c r="B22" t="s">
        <v>219</v>
      </c>
      <c r="C22" t="str">
        <f t="shared" si="1"/>
        <v>GGG-260</v>
      </c>
      <c r="D22" t="str">
        <f t="shared" si="4"/>
        <v>https://vgmdb.net/album/54721</v>
      </c>
      <c r="E22">
        <f>COUNTIF($C22:$C$234,C22)-1</f>
        <v>0</v>
      </c>
      <c r="F22" t="s">
        <v>23</v>
      </c>
      <c r="K22">
        <f>IF(ISERROR(MATCH(C22,C$1:C21,0)),0,1)</f>
        <v>0</v>
      </c>
    </row>
    <row r="23" spans="1:11" x14ac:dyDescent="0.75">
      <c r="A23" t="str">
        <f t="shared" si="3"/>
        <v>https://vgmdb.net/album/25069</v>
      </c>
      <c r="B23" t="s">
        <v>219</v>
      </c>
      <c r="C23" t="str">
        <f t="shared" si="1"/>
        <v>5222-2</v>
      </c>
      <c r="D23" t="str">
        <f t="shared" si="4"/>
        <v>https://vgmdb.net/album/25069</v>
      </c>
      <c r="E23">
        <f>COUNTIF($C23:$C$234,C23)-1</f>
        <v>0</v>
      </c>
      <c r="F23" t="s">
        <v>24</v>
      </c>
      <c r="K23">
        <f>IF(ISERROR(MATCH(C23,C$1:C22,0)),0,1)</f>
        <v>0</v>
      </c>
    </row>
    <row r="24" spans="1:11" x14ac:dyDescent="0.75">
      <c r="A24" t="str">
        <f t="shared" si="3"/>
        <v>https://vgmdb.net/album/21301</v>
      </c>
      <c r="B24" t="s">
        <v>219</v>
      </c>
      <c r="C24" t="str">
        <f t="shared" si="1"/>
        <v>FSCA-10087</v>
      </c>
      <c r="D24" t="str">
        <f t="shared" si="4"/>
        <v>https://vgmdb.net/album/21301</v>
      </c>
      <c r="E24">
        <f>COUNTIF($C24:$C$234,C24)-1</f>
        <v>0</v>
      </c>
      <c r="F24" t="s">
        <v>25</v>
      </c>
      <c r="K24">
        <f>IF(ISERROR(MATCH(C24,C$1:C23,0)),0,1)</f>
        <v>0</v>
      </c>
    </row>
    <row r="25" spans="1:11" x14ac:dyDescent="0.75">
      <c r="A25" t="str">
        <f t="shared" si="3"/>
        <v>https://vgmdb.net/album/71036</v>
      </c>
      <c r="B25" t="s">
        <v>219</v>
      </c>
      <c r="C25" t="str">
        <f t="shared" si="1"/>
        <v>KICA-521</v>
      </c>
      <c r="D25" t="str">
        <f t="shared" si="4"/>
        <v>https://vgmdb.net/album/71036</v>
      </c>
      <c r="E25">
        <f>COUNTIF($C25:$C$234,C25)-1</f>
        <v>0</v>
      </c>
      <c r="F25" t="s">
        <v>26</v>
      </c>
      <c r="K25">
        <f>IF(ISERROR(MATCH(C25,C$1:C24,0)),0,1)</f>
        <v>0</v>
      </c>
    </row>
    <row r="26" spans="1:11" x14ac:dyDescent="0.75">
      <c r="A26" t="str">
        <f t="shared" si="3"/>
        <v>https://vgmdb.net/album/58221</v>
      </c>
      <c r="B26" t="s">
        <v>219</v>
      </c>
      <c r="C26" t="str">
        <f t="shared" si="1"/>
        <v>KICA-538</v>
      </c>
      <c r="D26" t="str">
        <f t="shared" si="4"/>
        <v>https://vgmdb.net/album/58221</v>
      </c>
      <c r="E26">
        <f>COUNTIF($C26:$C$234,C26)-1</f>
        <v>0</v>
      </c>
      <c r="F26" t="s">
        <v>27</v>
      </c>
      <c r="K26">
        <f>IF(ISERROR(MATCH(C26,C$1:C25,0)),0,1)</f>
        <v>0</v>
      </c>
    </row>
    <row r="27" spans="1:11" x14ac:dyDescent="0.75">
      <c r="A27" t="str">
        <f t="shared" si="3"/>
        <v>https://vgmdb.net/album/69975</v>
      </c>
      <c r="B27" t="s">
        <v>219</v>
      </c>
      <c r="C27" t="str">
        <f t="shared" si="1"/>
        <v>AVCA-14334</v>
      </c>
      <c r="D27" t="str">
        <f t="shared" si="4"/>
        <v>https://vgmdb.net/album/69975</v>
      </c>
      <c r="E27">
        <f>COUNTIF($C27:$C$234,C27)-1</f>
        <v>0</v>
      </c>
      <c r="F27" t="s">
        <v>28</v>
      </c>
      <c r="K27">
        <f>IF(ISERROR(MATCH(C27,C$1:C26,0)),0,1)</f>
        <v>0</v>
      </c>
    </row>
    <row r="28" spans="1:11" x14ac:dyDescent="0.75">
      <c r="A28" t="str">
        <f t="shared" si="3"/>
        <v>https://vgmdb.net/album/139974</v>
      </c>
      <c r="B28" t="s">
        <v>219</v>
      </c>
      <c r="C28" t="str">
        <f t="shared" si="1"/>
        <v>GA-050</v>
      </c>
      <c r="D28" t="str">
        <f t="shared" si="4"/>
        <v>https://vgmdb.net/album/139974</v>
      </c>
      <c r="E28">
        <f>COUNTIF($C28:$C$234,C28)-1</f>
        <v>0</v>
      </c>
      <c r="F28" t="s">
        <v>29</v>
      </c>
      <c r="K28">
        <f>IF(ISERROR(MATCH(C28,C$1:C27,0)),0,1)</f>
        <v>0</v>
      </c>
    </row>
    <row r="29" spans="1:11" x14ac:dyDescent="0.75">
      <c r="A29" t="str">
        <f t="shared" si="3"/>
        <v>https://vgmdb.net/album/71102</v>
      </c>
      <c r="B29" t="s">
        <v>219</v>
      </c>
      <c r="C29" t="str">
        <f t="shared" si="1"/>
        <v>AVCT-15002</v>
      </c>
      <c r="D29" t="str">
        <f t="shared" si="4"/>
        <v>https://vgmdb.net/album/71102</v>
      </c>
      <c r="E29">
        <f>COUNTIF($C29:$C$234,C29)-1</f>
        <v>0</v>
      </c>
      <c r="F29" t="s">
        <v>30</v>
      </c>
      <c r="K29">
        <f>IF(ISERROR(MATCH(C29,C$1:C28,0)),0,1)</f>
        <v>0</v>
      </c>
    </row>
    <row r="30" spans="1:11" x14ac:dyDescent="0.75">
      <c r="A30" t="str">
        <f t="shared" si="3"/>
        <v>https://vgmdb.net/album/68706</v>
      </c>
      <c r="B30" t="s">
        <v>219</v>
      </c>
      <c r="C30" t="str">
        <f t="shared" si="1"/>
        <v>SRCL-4218</v>
      </c>
      <c r="D30" t="str">
        <f t="shared" si="4"/>
        <v>https://vgmdb.net/album/68706</v>
      </c>
      <c r="E30">
        <f>COUNTIF($C30:$C$234,C30)-1</f>
        <v>0</v>
      </c>
      <c r="F30" t="s">
        <v>31</v>
      </c>
      <c r="K30">
        <f>IF(ISERROR(MATCH(C30,C$1:C29,0)),0,1)</f>
        <v>0</v>
      </c>
    </row>
    <row r="31" spans="1:11" x14ac:dyDescent="0.75">
      <c r="A31" t="str">
        <f t="shared" si="3"/>
        <v>https://vgmdb.net/album/32087</v>
      </c>
      <c r="B31" t="s">
        <v>219</v>
      </c>
      <c r="C31" t="str">
        <f t="shared" si="1"/>
        <v>COCC-9247</v>
      </c>
      <c r="D31" t="str">
        <f t="shared" si="4"/>
        <v>https://vgmdb.net/album/32087</v>
      </c>
      <c r="E31">
        <f>COUNTIF($C31:$C$234,C31)-1</f>
        <v>0</v>
      </c>
      <c r="F31" t="s">
        <v>32</v>
      </c>
      <c r="K31">
        <f>IF(ISERROR(MATCH(C31,C$1:C30,0)),0,1)</f>
        <v>0</v>
      </c>
    </row>
    <row r="32" spans="1:11" x14ac:dyDescent="0.75">
      <c r="A32" t="str">
        <f t="shared" si="3"/>
        <v>https://vgmdb.net/album/32145</v>
      </c>
      <c r="B32" t="s">
        <v>219</v>
      </c>
      <c r="C32" t="str">
        <f t="shared" si="1"/>
        <v>COCC-9743</v>
      </c>
      <c r="D32" t="str">
        <f t="shared" si="4"/>
        <v>https://vgmdb.net/album/32145</v>
      </c>
      <c r="E32">
        <f>COUNTIF($C32:$C$234,C32)-1</f>
        <v>0</v>
      </c>
      <c r="F32" t="s">
        <v>33</v>
      </c>
      <c r="K32">
        <f>IF(ISERROR(MATCH(C32,C$1:C31,0)),0,1)</f>
        <v>0</v>
      </c>
    </row>
    <row r="33" spans="1:11" x14ac:dyDescent="0.75">
      <c r="A33" t="str">
        <f t="shared" si="3"/>
        <v>https://vgmdb.net/album/58936</v>
      </c>
      <c r="B33" t="s">
        <v>219</v>
      </c>
      <c r="C33" t="str">
        <f t="shared" ref="C33:C64" si="5">LEFT(F33,FIND(" | ",F33)-1)</f>
        <v>COCC-10702</v>
      </c>
      <c r="D33" t="str">
        <f t="shared" si="4"/>
        <v>https://vgmdb.net/album/58936</v>
      </c>
      <c r="E33">
        <f>COUNTIF($C33:$C$234,C33)-1</f>
        <v>0</v>
      </c>
      <c r="F33" t="s">
        <v>34</v>
      </c>
      <c r="K33">
        <f>IF(ISERROR(MATCH(C33,C$1:C32,0)),0,1)</f>
        <v>0</v>
      </c>
    </row>
    <row r="34" spans="1:11" x14ac:dyDescent="0.75">
      <c r="A34" t="str">
        <f t="shared" si="3"/>
        <v>https://vgmdb.net/album/31988</v>
      </c>
      <c r="B34" t="s">
        <v>219</v>
      </c>
      <c r="C34" t="str">
        <f t="shared" si="5"/>
        <v>COCC-6830</v>
      </c>
      <c r="D34" t="str">
        <f t="shared" si="4"/>
        <v>https://vgmdb.net/album/31988</v>
      </c>
      <c r="E34">
        <f>COUNTIF($C34:$C$234,C34)-1</f>
        <v>0</v>
      </c>
      <c r="F34" t="s">
        <v>35</v>
      </c>
      <c r="K34">
        <f>IF(ISERROR(MATCH(C34,C$1:C33,0)),0,1)</f>
        <v>0</v>
      </c>
    </row>
    <row r="35" spans="1:11" x14ac:dyDescent="0.75">
      <c r="A35" t="str">
        <f t="shared" si="3"/>
        <v>https://vgmdb.net/album/31989</v>
      </c>
      <c r="B35" t="s">
        <v>219</v>
      </c>
      <c r="C35" t="str">
        <f t="shared" si="5"/>
        <v>COCC-7094</v>
      </c>
      <c r="D35" t="str">
        <f t="shared" si="4"/>
        <v>https://vgmdb.net/album/31989</v>
      </c>
      <c r="E35">
        <f>COUNTIF($C35:$C$234,C35)-1</f>
        <v>0</v>
      </c>
      <c r="F35" t="s">
        <v>36</v>
      </c>
      <c r="K35">
        <f>IF(ISERROR(MATCH(C35,C$1:C34,0)),0,1)</f>
        <v>0</v>
      </c>
    </row>
    <row r="36" spans="1:11" x14ac:dyDescent="0.75">
      <c r="A36" t="str">
        <f t="shared" si="3"/>
        <v>https://vgmdb.net/album/32007</v>
      </c>
      <c r="B36" t="s">
        <v>219</v>
      </c>
      <c r="C36" t="str">
        <f t="shared" si="5"/>
        <v>COCC-7319</v>
      </c>
      <c r="D36" t="str">
        <f t="shared" si="4"/>
        <v>https://vgmdb.net/album/32007</v>
      </c>
      <c r="E36">
        <f>COUNTIF($C36:$C$234,C36)-1</f>
        <v>0</v>
      </c>
      <c r="F36" t="s">
        <v>37</v>
      </c>
      <c r="K36">
        <f>IF(ISERROR(MATCH(C36,C$1:C35,0)),0,1)</f>
        <v>0</v>
      </c>
    </row>
    <row r="37" spans="1:11" x14ac:dyDescent="0.75">
      <c r="A37" t="str">
        <f t="shared" si="3"/>
        <v>https://vgmdb.net/album/14528</v>
      </c>
      <c r="B37" t="s">
        <v>219</v>
      </c>
      <c r="C37" t="str">
        <f t="shared" si="5"/>
        <v>GAME-002</v>
      </c>
      <c r="D37" t="str">
        <f t="shared" si="4"/>
        <v>https://vgmdb.net/album/14528</v>
      </c>
      <c r="E37">
        <f>COUNTIF($C37:$C$234,C37)-1</f>
        <v>0</v>
      </c>
      <c r="F37" t="s">
        <v>38</v>
      </c>
      <c r="K37">
        <f>IF(ISERROR(MATCH(C37,C$1:C36,0)),0,1)</f>
        <v>0</v>
      </c>
    </row>
    <row r="38" spans="1:11" x14ac:dyDescent="0.75">
      <c r="A38" t="str">
        <f t="shared" si="3"/>
        <v>https://vgmdb.net/album/71780</v>
      </c>
      <c r="B38" t="s">
        <v>219</v>
      </c>
      <c r="C38" t="str">
        <f t="shared" si="5"/>
        <v>LD32-5102</v>
      </c>
      <c r="D38" t="str">
        <f t="shared" si="4"/>
        <v>https://vgmdb.net/album/71780</v>
      </c>
      <c r="E38">
        <f>COUNTIF($C38:$C$234,C38)-1</f>
        <v>0</v>
      </c>
      <c r="F38" t="s">
        <v>39</v>
      </c>
      <c r="K38">
        <f>IF(ISERROR(MATCH(C38,C$1:C37,0)),0,1)</f>
        <v>0</v>
      </c>
    </row>
    <row r="39" spans="1:11" x14ac:dyDescent="0.75">
      <c r="A39" t="str">
        <f t="shared" si="3"/>
        <v>https://vgmdb.net/album/144021</v>
      </c>
      <c r="B39" t="s">
        <v>219</v>
      </c>
      <c r="C39" t="str">
        <f t="shared" si="5"/>
        <v>ES-02</v>
      </c>
      <c r="D39" t="str">
        <f t="shared" si="4"/>
        <v>https://vgmdb.net/album/144021</v>
      </c>
      <c r="E39">
        <f>COUNTIF($C39:$C$234,C39)-1</f>
        <v>0</v>
      </c>
      <c r="F39" t="s">
        <v>40</v>
      </c>
      <c r="K39">
        <f>IF(ISERROR(MATCH(C39,C$1:C38,0)),0,1)</f>
        <v>0</v>
      </c>
    </row>
    <row r="40" spans="1:11" x14ac:dyDescent="0.75">
      <c r="A40" t="str">
        <f t="shared" si="3"/>
        <v xml:space="preserve">https://vgmdb.net/album/19659 </v>
      </c>
      <c r="B40" t="s">
        <v>219</v>
      </c>
      <c r="C40" t="str">
        <f t="shared" si="5"/>
        <v>ES-01</v>
      </c>
      <c r="D40" t="str">
        <f t="shared" si="4"/>
        <v>https://vgmdb.net/album/19659 (VICL-769)</v>
      </c>
      <c r="E40">
        <f>COUNTIF($C40:$C$234,C40)-1</f>
        <v>0</v>
      </c>
      <c r="F40" t="s">
        <v>229</v>
      </c>
      <c r="K40">
        <f>IF(ISERROR(MATCH(C40,C$1:C39,0)),0,1)</f>
        <v>0</v>
      </c>
    </row>
    <row r="41" spans="1:11" x14ac:dyDescent="0.75">
      <c r="A41" t="str">
        <f t="shared" si="3"/>
        <v>https://vgmdb.net/album/25984</v>
      </c>
      <c r="B41" t="s">
        <v>219</v>
      </c>
      <c r="C41" t="str">
        <f t="shared" si="5"/>
        <v>23469</v>
      </c>
      <c r="D41" t="str">
        <f t="shared" si="4"/>
        <v>https://vgmdb.net/album/25984</v>
      </c>
      <c r="E41">
        <f>COUNTIF($C41:$C$234,C41)-1</f>
        <v>0</v>
      </c>
      <c r="F41" t="s">
        <v>41</v>
      </c>
      <c r="K41">
        <f>IF(ISERROR(MATCH(C41,C$1:C40,0)),0,1)</f>
        <v>0</v>
      </c>
    </row>
    <row r="42" spans="1:11" x14ac:dyDescent="0.75">
      <c r="A42" t="str">
        <f t="shared" si="3"/>
        <v>https://vgmdb.net/album/4733</v>
      </c>
      <c r="B42" t="s">
        <v>219</v>
      </c>
      <c r="C42" t="str">
        <f t="shared" si="5"/>
        <v>VICL-548</v>
      </c>
      <c r="D42" t="str">
        <f t="shared" si="4"/>
        <v>https://vgmdb.net/album/4733</v>
      </c>
      <c r="E42">
        <f>COUNTIF($C42:$C$234,C42)-1</f>
        <v>0</v>
      </c>
      <c r="F42" t="s">
        <v>42</v>
      </c>
      <c r="K42">
        <f>IF(ISERROR(MATCH(C42,C$1:C41,0)),0,1)</f>
        <v>0</v>
      </c>
    </row>
    <row r="43" spans="1:11" x14ac:dyDescent="0.75">
      <c r="A43" t="str">
        <f t="shared" si="3"/>
        <v>https://vgmdb.net/album/29617</v>
      </c>
      <c r="B43" t="s">
        <v>219</v>
      </c>
      <c r="C43" t="str">
        <f t="shared" si="5"/>
        <v>5276-2</v>
      </c>
      <c r="D43" t="str">
        <f t="shared" si="4"/>
        <v>https://vgmdb.net/album/29617</v>
      </c>
      <c r="E43">
        <f>COUNTIF($C43:$C$234,C43)-1</f>
        <v>0</v>
      </c>
      <c r="F43" t="s">
        <v>43</v>
      </c>
      <c r="K43">
        <f>IF(ISERROR(MATCH(C43,C$1:C42,0)),0,1)</f>
        <v>0</v>
      </c>
    </row>
    <row r="44" spans="1:11" x14ac:dyDescent="0.75">
      <c r="A44" t="str">
        <f t="shared" si="3"/>
        <v>https://vgmdb.net/album/43640</v>
      </c>
      <c r="B44" t="s">
        <v>219</v>
      </c>
      <c r="C44" t="str">
        <f t="shared" si="5"/>
        <v>5223-2</v>
      </c>
      <c r="D44" t="str">
        <f t="shared" si="4"/>
        <v>https://vgmdb.net/album/43640</v>
      </c>
      <c r="E44">
        <f>COUNTIF($C44:$C$234,C44)-1</f>
        <v>0</v>
      </c>
      <c r="F44" t="s">
        <v>44</v>
      </c>
      <c r="K44">
        <f>IF(ISERROR(MATCH(C44,C$1:C43,0)),0,1)</f>
        <v>0</v>
      </c>
    </row>
    <row r="45" spans="1:11" x14ac:dyDescent="0.75">
      <c r="A45" t="str">
        <f t="shared" si="3"/>
        <v>https://vgmdb.net/album/23642</v>
      </c>
      <c r="B45" t="s">
        <v>219</v>
      </c>
      <c r="C45" t="str">
        <f t="shared" si="5"/>
        <v>APCM-5064</v>
      </c>
      <c r="D45" t="str">
        <f t="shared" si="4"/>
        <v>https://vgmdb.net/album/23642</v>
      </c>
      <c r="E45">
        <f>COUNTIF($C45:$C$234,C45)-1</f>
        <v>0</v>
      </c>
      <c r="F45" t="s">
        <v>45</v>
      </c>
      <c r="K45">
        <f>IF(ISERROR(MATCH(C45,C$1:C44,0)),0,1)</f>
        <v>0</v>
      </c>
    </row>
    <row r="46" spans="1:11" x14ac:dyDescent="0.75">
      <c r="A46" t="str">
        <f t="shared" si="3"/>
        <v>https://vgmdb.net/album/125334</v>
      </c>
      <c r="B46" t="s">
        <v>219</v>
      </c>
      <c r="C46" t="str">
        <f t="shared" si="5"/>
        <v>AYCM-555</v>
      </c>
      <c r="D46" t="str">
        <f t="shared" si="4"/>
        <v>https://vgmdb.net/album/125334</v>
      </c>
      <c r="E46">
        <f>COUNTIF($C46:$C$234,C46)-1</f>
        <v>0</v>
      </c>
      <c r="F46" t="s">
        <v>46</v>
      </c>
      <c r="K46">
        <f>IF(ISERROR(MATCH(C46,C$1:C45,0)),0,1)</f>
        <v>0</v>
      </c>
    </row>
    <row r="47" spans="1:11" x14ac:dyDescent="0.75">
      <c r="A47" t="str">
        <f t="shared" si="3"/>
        <v>https://vgmdb.net/album/23883</v>
      </c>
      <c r="B47" t="s">
        <v>219</v>
      </c>
      <c r="C47" t="str">
        <f t="shared" si="5"/>
        <v>25199</v>
      </c>
      <c r="D47" t="str">
        <f t="shared" si="4"/>
        <v>https://vgmdb.net/album/23883</v>
      </c>
      <c r="E47">
        <f>COUNTIF($C47:$C$234,C47)-1</f>
        <v>0</v>
      </c>
      <c r="F47" t="s">
        <v>47</v>
      </c>
      <c r="K47">
        <f>IF(ISERROR(MATCH(C47,C$1:C46,0)),0,1)</f>
        <v>0</v>
      </c>
    </row>
    <row r="48" spans="1:11" x14ac:dyDescent="0.75">
      <c r="A48" t="str">
        <f t="shared" si="3"/>
        <v>https://vgmdb.net/album/21607</v>
      </c>
      <c r="B48" t="s">
        <v>219</v>
      </c>
      <c r="C48" t="str">
        <f t="shared" si="5"/>
        <v>KICA-155</v>
      </c>
      <c r="D48" t="str">
        <f t="shared" si="4"/>
        <v>https://vgmdb.net/album/21607</v>
      </c>
      <c r="E48">
        <f>COUNTIF($C48:$C$234,C48)-1</f>
        <v>0</v>
      </c>
      <c r="F48" t="s">
        <v>48</v>
      </c>
      <c r="K48">
        <f>IF(ISERROR(MATCH(C48,C$1:C47,0)),0,1)</f>
        <v>0</v>
      </c>
    </row>
    <row r="49" spans="1:11" x14ac:dyDescent="0.75">
      <c r="A49" t="str">
        <f t="shared" si="3"/>
        <v>https://vgmdb.net/album/28460</v>
      </c>
      <c r="B49" t="s">
        <v>219</v>
      </c>
      <c r="C49" t="str">
        <f t="shared" si="5"/>
        <v>SRCL-5849</v>
      </c>
      <c r="D49" t="str">
        <f t="shared" si="4"/>
        <v>https://vgmdb.net/album/28460</v>
      </c>
      <c r="E49">
        <f>COUNTIF($C49:$C$234,C49)-1</f>
        <v>0</v>
      </c>
      <c r="F49" t="s">
        <v>49</v>
      </c>
      <c r="K49">
        <f>IF(ISERROR(MATCH(C49,C$1:C48,0)),0,1)</f>
        <v>0</v>
      </c>
    </row>
    <row r="50" spans="1:11" x14ac:dyDescent="0.75">
      <c r="A50" t="str">
        <f t="shared" si="3"/>
        <v>https://vgmdb.net/album/66909</v>
      </c>
      <c r="B50" t="s">
        <v>219</v>
      </c>
      <c r="C50" t="str">
        <f t="shared" si="5"/>
        <v>WPC6-8132</v>
      </c>
      <c r="D50" t="str">
        <f t="shared" si="4"/>
        <v>https://vgmdb.net/album/66909</v>
      </c>
      <c r="E50">
        <f>COUNTIF($C50:$C$234,C50)-1</f>
        <v>0</v>
      </c>
      <c r="F50" t="s">
        <v>50</v>
      </c>
      <c r="K50">
        <f>IF(ISERROR(MATCH(C50,C$1:C49,0)),0,1)</f>
        <v>0</v>
      </c>
    </row>
    <row r="51" spans="1:11" x14ac:dyDescent="0.75">
      <c r="A51" t="str">
        <f t="shared" si="3"/>
        <v>https://vgmdb.net/album/81080</v>
      </c>
      <c r="B51" t="s">
        <v>219</v>
      </c>
      <c r="C51" t="str">
        <f t="shared" si="5"/>
        <v>PCCG-00133</v>
      </c>
      <c r="D51" t="str">
        <f t="shared" si="4"/>
        <v>https://vgmdb.net/album/81080</v>
      </c>
      <c r="E51">
        <f>COUNTIF($C51:$C$234,C51)-1</f>
        <v>0</v>
      </c>
      <c r="F51" t="s">
        <v>51</v>
      </c>
      <c r="K51">
        <f>IF(ISERROR(MATCH(C51,C$1:C50,0)),0,1)</f>
        <v>0</v>
      </c>
    </row>
    <row r="52" spans="1:11" x14ac:dyDescent="0.75">
      <c r="A52" t="str">
        <f t="shared" si="3"/>
        <v>https://vgmdb.net/album/128845</v>
      </c>
      <c r="B52" t="s">
        <v>219</v>
      </c>
      <c r="C52" t="str">
        <f t="shared" si="5"/>
        <v>VICL-5302</v>
      </c>
      <c r="D52" t="str">
        <f t="shared" si="4"/>
        <v>https://vgmdb.net/album/128845</v>
      </c>
      <c r="E52">
        <f>COUNTIF($C52:$C$234,C52)-1</f>
        <v>0</v>
      </c>
      <c r="F52" t="s">
        <v>53</v>
      </c>
      <c r="K52">
        <f>IF(ISERROR(MATCH(C52,C$1:C51,0)),0,1)</f>
        <v>0</v>
      </c>
    </row>
    <row r="53" spans="1:11" x14ac:dyDescent="0.75">
      <c r="A53" t="str">
        <f t="shared" si="3"/>
        <v>https://vgmdb.net/album/28806</v>
      </c>
      <c r="B53" t="s">
        <v>219</v>
      </c>
      <c r="C53" t="str">
        <f t="shared" si="5"/>
        <v>AVCA-14272</v>
      </c>
      <c r="D53" t="str">
        <f t="shared" si="4"/>
        <v>https://vgmdb.net/album/28806</v>
      </c>
      <c r="E53">
        <f>COUNTIF($C53:$C$234,C53)-1</f>
        <v>0</v>
      </c>
      <c r="F53" t="s">
        <v>54</v>
      </c>
      <c r="K53">
        <f>IF(ISERROR(MATCH(C53,C$1:C52,0)),0,1)</f>
        <v>0</v>
      </c>
    </row>
    <row r="54" spans="1:11" x14ac:dyDescent="0.75">
      <c r="A54" t="str">
        <f t="shared" si="3"/>
        <v>https://vgmdb.net/album/25007</v>
      </c>
      <c r="B54" t="s">
        <v>219</v>
      </c>
      <c r="C54" t="str">
        <f t="shared" si="5"/>
        <v>5219-2</v>
      </c>
      <c r="D54" t="str">
        <f t="shared" si="4"/>
        <v>https://vgmdb.net/album/25007</v>
      </c>
      <c r="E54">
        <f>COUNTIF($C54:$C$234,C54)-1</f>
        <v>0</v>
      </c>
      <c r="F54" t="s">
        <v>55</v>
      </c>
      <c r="K54">
        <f>IF(ISERROR(MATCH(C54,C$1:C53,0)),0,1)</f>
        <v>0</v>
      </c>
    </row>
    <row r="55" spans="1:11" x14ac:dyDescent="0.75">
      <c r="A55" t="str">
        <f t="shared" si="3"/>
        <v>https://vgmdb.net/album/25053</v>
      </c>
      <c r="B55" t="s">
        <v>219</v>
      </c>
      <c r="C55" t="str">
        <f t="shared" si="5"/>
        <v>5279-2</v>
      </c>
      <c r="D55" t="str">
        <f t="shared" si="4"/>
        <v>https://vgmdb.net/album/25053</v>
      </c>
      <c r="E55">
        <f>COUNTIF($C55:$C$234,C55)-1</f>
        <v>0</v>
      </c>
      <c r="F55" t="s">
        <v>56</v>
      </c>
      <c r="K55">
        <f>IF(ISERROR(MATCH(C55,C$1:C54,0)),0,1)</f>
        <v>0</v>
      </c>
    </row>
    <row r="56" spans="1:11" x14ac:dyDescent="0.75">
      <c r="A56" t="str">
        <f t="shared" si="3"/>
        <v>https://vgmdb.net/album/12851</v>
      </c>
      <c r="B56" t="s">
        <v>219</v>
      </c>
      <c r="C56" t="str">
        <f t="shared" si="5"/>
        <v>MACB-6003</v>
      </c>
      <c r="D56" t="str">
        <f t="shared" si="4"/>
        <v>https://vgmdb.net/album/12851</v>
      </c>
      <c r="E56">
        <f>COUNTIF($C56:$C$234,C56)-1</f>
        <v>0</v>
      </c>
      <c r="F56" t="s">
        <v>57</v>
      </c>
      <c r="K56">
        <f>IF(ISERROR(MATCH(C56,C$1:C55,0)),0,1)</f>
        <v>0</v>
      </c>
    </row>
    <row r="57" spans="1:11" x14ac:dyDescent="0.75">
      <c r="A57" t="str">
        <f t="shared" si="3"/>
        <v xml:space="preserve">https://vgmdb.net/album/24565 </v>
      </c>
      <c r="B57" t="s">
        <v>219</v>
      </c>
      <c r="C57" t="str">
        <f t="shared" si="5"/>
        <v>RC008</v>
      </c>
      <c r="D57" t="str">
        <f t="shared" si="4"/>
        <v>https://vgmdb.net/album/24565 (30ATC-190)</v>
      </c>
      <c r="E57">
        <f>COUNTIF($C57:$C$234,C57)-1</f>
        <v>0</v>
      </c>
      <c r="F57" t="s">
        <v>58</v>
      </c>
      <c r="K57">
        <f>IF(ISERROR(MATCH(C57,C$1:C56,0)),0,1)</f>
        <v>0</v>
      </c>
    </row>
    <row r="58" spans="1:11" x14ac:dyDescent="0.75">
      <c r="A58" t="str">
        <f t="shared" si="3"/>
        <v>https://vgmdb.net/album/3507</v>
      </c>
      <c r="B58" t="s">
        <v>219</v>
      </c>
      <c r="C58" t="str">
        <f t="shared" si="5"/>
        <v>PCCB-00312</v>
      </c>
      <c r="D58" t="str">
        <f t="shared" si="4"/>
        <v>https://vgmdb.net/album/3507</v>
      </c>
      <c r="E58">
        <f>COUNTIF($C58:$C$234,C58)-1</f>
        <v>0</v>
      </c>
      <c r="F58" t="s">
        <v>225</v>
      </c>
      <c r="K58">
        <f>IF(ISERROR(MATCH(C58,C$1:C57,0)),0,1)</f>
        <v>0</v>
      </c>
    </row>
    <row r="59" spans="1:11" x14ac:dyDescent="0.75">
      <c r="A59" t="str">
        <f t="shared" si="3"/>
        <v>https://vgmdb.net/album/22246</v>
      </c>
      <c r="B59" t="s">
        <v>219</v>
      </c>
      <c r="C59" t="str">
        <f t="shared" si="5"/>
        <v>SRCL-3628</v>
      </c>
      <c r="D59" t="str">
        <f t="shared" si="4"/>
        <v>https://vgmdb.net/album/22246</v>
      </c>
      <c r="E59">
        <f>COUNTIF($C59:$C$234,C59)-1</f>
        <v>0</v>
      </c>
      <c r="F59" t="s">
        <v>59</v>
      </c>
      <c r="K59">
        <f>IF(ISERROR(MATCH(C59,C$1:C58,0)),0,1)</f>
        <v>0</v>
      </c>
    </row>
    <row r="60" spans="1:11" x14ac:dyDescent="0.75">
      <c r="A60" t="str">
        <f t="shared" si="3"/>
        <v>https://vgmdb.net/album/64097</v>
      </c>
      <c r="B60" t="s">
        <v>219</v>
      </c>
      <c r="C60" t="str">
        <f t="shared" si="5"/>
        <v>GGG-233</v>
      </c>
      <c r="D60" t="str">
        <f t="shared" si="4"/>
        <v>https://vgmdb.net/album/64097</v>
      </c>
      <c r="E60">
        <f>COUNTIF($C60:$C$234,C60)-1</f>
        <v>0</v>
      </c>
      <c r="F60" t="s">
        <v>60</v>
      </c>
      <c r="K60">
        <f>IF(ISERROR(MATCH(C60,C$1:C59,0)),0,1)</f>
        <v>0</v>
      </c>
    </row>
    <row r="61" spans="1:11" x14ac:dyDescent="0.75">
      <c r="A61" t="str">
        <f t="shared" si="3"/>
        <v>https://vgmdb.net/album/25162</v>
      </c>
      <c r="B61" t="s">
        <v>219</v>
      </c>
      <c r="C61" t="str">
        <f t="shared" si="5"/>
        <v>LD32-5098</v>
      </c>
      <c r="D61" t="str">
        <f t="shared" si="4"/>
        <v>https://vgmdb.net/album/25162</v>
      </c>
      <c r="E61">
        <f>COUNTIF($C61:$C$234,C61)-1</f>
        <v>0</v>
      </c>
      <c r="F61" t="s">
        <v>61</v>
      </c>
      <c r="K61">
        <f>IF(ISERROR(MATCH(C61,C$1:C60,0)),0,1)</f>
        <v>0</v>
      </c>
    </row>
    <row r="62" spans="1:11" x14ac:dyDescent="0.75">
      <c r="A62" t="str">
        <f t="shared" si="3"/>
        <v>https://vgmdb.net/album/40102</v>
      </c>
      <c r="B62" t="s">
        <v>219</v>
      </c>
      <c r="C62" t="str">
        <f t="shared" si="5"/>
        <v>TPCR-1003</v>
      </c>
      <c r="D62" t="str">
        <f t="shared" si="4"/>
        <v>https://vgmdb.net/album/40102</v>
      </c>
      <c r="E62">
        <f>COUNTIF($C62:$C$234,C62)-1</f>
        <v>0</v>
      </c>
      <c r="F62" t="s">
        <v>62</v>
      </c>
      <c r="K62">
        <f>IF(ISERROR(MATCH(C62,C$1:C61,0)),0,1)</f>
        <v>0</v>
      </c>
    </row>
    <row r="63" spans="1:11" x14ac:dyDescent="0.75">
      <c r="A63" t="str">
        <f t="shared" si="3"/>
        <v>https://vgmdb.net/album/30406</v>
      </c>
      <c r="B63" t="s">
        <v>219</v>
      </c>
      <c r="C63" t="str">
        <f t="shared" si="5"/>
        <v>KICA-414</v>
      </c>
      <c r="D63" t="str">
        <f t="shared" si="4"/>
        <v>https://vgmdb.net/album/30406</v>
      </c>
      <c r="E63">
        <f>COUNTIF($C63:$C$234,C63)-1</f>
        <v>0</v>
      </c>
      <c r="F63" t="s">
        <v>63</v>
      </c>
      <c r="K63">
        <f>IF(ISERROR(MATCH(C63,C$1:C62,0)),0,1)</f>
        <v>0</v>
      </c>
    </row>
    <row r="64" spans="1:11" x14ac:dyDescent="0.75">
      <c r="A64" t="str">
        <f t="shared" si="3"/>
        <v>https://vgmdb.net/album/105505</v>
      </c>
      <c r="B64" t="s">
        <v>219</v>
      </c>
      <c r="C64" t="str">
        <f t="shared" si="5"/>
        <v>KICA-492</v>
      </c>
      <c r="D64" t="str">
        <f t="shared" si="4"/>
        <v>https://vgmdb.net/album/105505</v>
      </c>
      <c r="E64">
        <f>COUNTIF($C64:$C$234,C64)-1</f>
        <v>0</v>
      </c>
      <c r="F64" t="s">
        <v>64</v>
      </c>
      <c r="K64">
        <f>IF(ISERROR(MATCH(C64,C$1:C63,0)),0,1)</f>
        <v>0</v>
      </c>
    </row>
    <row r="65" spans="1:11" x14ac:dyDescent="0.75">
      <c r="A65" t="str">
        <f t="shared" si="3"/>
        <v>https://vgmdb.net/album/65836</v>
      </c>
      <c r="B65" t="s">
        <v>219</v>
      </c>
      <c r="C65" t="str">
        <f t="shared" ref="C65:C124" si="6">LEFT(F65,FIND(" | ",F65)-1)</f>
        <v>GGG-348</v>
      </c>
      <c r="D65" t="str">
        <f t="shared" si="4"/>
        <v>https://vgmdb.net/album/65836</v>
      </c>
      <c r="E65">
        <f>COUNTIF($C65:$C$234,C65)-1</f>
        <v>0</v>
      </c>
      <c r="F65" t="s">
        <v>65</v>
      </c>
      <c r="K65">
        <f>IF(ISERROR(MATCH(C65,C$1:C64,0)),0,1)</f>
        <v>0</v>
      </c>
    </row>
    <row r="66" spans="1:11" x14ac:dyDescent="0.75">
      <c r="A66" t="str">
        <f t="shared" si="3"/>
        <v>https://vgmdb.net/album/39995</v>
      </c>
      <c r="B66" t="s">
        <v>219</v>
      </c>
      <c r="C66" t="str">
        <f t="shared" si="6"/>
        <v>VICL-574</v>
      </c>
      <c r="D66" t="str">
        <f t="shared" si="4"/>
        <v>https://vgmdb.net/album/39995</v>
      </c>
      <c r="E66">
        <f>COUNTIF($C66:$C$234,C66)-1</f>
        <v>0</v>
      </c>
      <c r="F66" t="s">
        <v>66</v>
      </c>
      <c r="K66">
        <f>IF(ISERROR(MATCH(C66,C$1:C65,0)),0,1)</f>
        <v>0</v>
      </c>
    </row>
    <row r="67" spans="1:11" x14ac:dyDescent="0.75">
      <c r="A67" t="str">
        <f t="shared" si="3"/>
        <v>https://vgmdb.net/album/102179</v>
      </c>
      <c r="B67" t="s">
        <v>219</v>
      </c>
      <c r="C67" t="str">
        <f t="shared" si="6"/>
        <v>POCH-1549</v>
      </c>
      <c r="D67" t="str">
        <f t="shared" si="4"/>
        <v>https://vgmdb.net/album/102179</v>
      </c>
      <c r="E67">
        <f>COUNTIF($C67:$C$234,C67)-1</f>
        <v>0</v>
      </c>
      <c r="F67" t="s">
        <v>67</v>
      </c>
      <c r="K67">
        <f>IF(ISERROR(MATCH(C67,C$1:C66,0)),0,1)</f>
        <v>0</v>
      </c>
    </row>
    <row r="68" spans="1:11" x14ac:dyDescent="0.75">
      <c r="A68" t="str">
        <f t="shared" si="3"/>
        <v>https://vgmdb.net/album/64031</v>
      </c>
      <c r="B68" t="s">
        <v>219</v>
      </c>
      <c r="C68" t="str">
        <f t="shared" si="6"/>
        <v>GA-034</v>
      </c>
      <c r="D68" t="str">
        <f t="shared" si="4"/>
        <v>https://vgmdb.net/album/64031</v>
      </c>
      <c r="E68">
        <f>COUNTIF($C68:$C$234,C68)-1</f>
        <v>0</v>
      </c>
      <c r="F68" t="s">
        <v>68</v>
      </c>
      <c r="K68">
        <f>IF(ISERROR(MATCH(C68,C$1:C67,0)),0,1)</f>
        <v>0</v>
      </c>
    </row>
    <row r="69" spans="1:11" x14ac:dyDescent="0.75">
      <c r="A69" t="str">
        <f t="shared" si="3"/>
        <v>https://vgmdb.net/album/18729</v>
      </c>
      <c r="B69" t="s">
        <v>219</v>
      </c>
      <c r="C69" t="str">
        <f t="shared" si="6"/>
        <v>POCH-1504</v>
      </c>
      <c r="D69" t="str">
        <f t="shared" si="4"/>
        <v>https://vgmdb.net/album/18729</v>
      </c>
      <c r="E69">
        <f>COUNTIF($C69:$C$234,C69)-1</f>
        <v>0</v>
      </c>
      <c r="F69" t="s">
        <v>69</v>
      </c>
      <c r="K69">
        <f>IF(ISERROR(MATCH(C69,C$1:C68,0)),0,1)</f>
        <v>0</v>
      </c>
    </row>
    <row r="70" spans="1:11" x14ac:dyDescent="0.75">
      <c r="A70" t="str">
        <f t="shared" si="3"/>
        <v>https://vgmdb.net/album/22231</v>
      </c>
      <c r="B70" t="s">
        <v>219</v>
      </c>
      <c r="C70" t="str">
        <f t="shared" si="6"/>
        <v>POCX-1087</v>
      </c>
      <c r="D70" t="str">
        <f t="shared" si="4"/>
        <v>https://vgmdb.net/album/22231</v>
      </c>
      <c r="E70">
        <f>COUNTIF($C70:$C$234,C70)-1</f>
        <v>0</v>
      </c>
      <c r="F70" t="s">
        <v>70</v>
      </c>
      <c r="K70">
        <f>IF(ISERROR(MATCH(C70,C$1:C69,0)),0,1)</f>
        <v>0</v>
      </c>
    </row>
    <row r="71" spans="1:11" x14ac:dyDescent="0.75">
      <c r="A71" t="str">
        <f t="shared" si="3"/>
        <v>https://vgmdb.net/album/18723</v>
      </c>
      <c r="B71" t="s">
        <v>219</v>
      </c>
      <c r="C71" t="str">
        <f t="shared" si="6"/>
        <v>POCH-1425</v>
      </c>
      <c r="D71" t="str">
        <f t="shared" si="4"/>
        <v>https://vgmdb.net/album/18723</v>
      </c>
      <c r="E71">
        <f>COUNTIF($C71:$C$234,C71)-1</f>
        <v>0</v>
      </c>
      <c r="F71" t="s">
        <v>71</v>
      </c>
      <c r="K71">
        <f>IF(ISERROR(MATCH(C71,C$1:C70,0)),0,1)</f>
        <v>0</v>
      </c>
    </row>
    <row r="72" spans="1:11" x14ac:dyDescent="0.75">
      <c r="A72" t="str">
        <f t="shared" si="3"/>
        <v>https://vgmdb.net/album/18726</v>
      </c>
      <c r="B72" t="s">
        <v>219</v>
      </c>
      <c r="C72" t="str">
        <f t="shared" si="6"/>
        <v>POCH-1490</v>
      </c>
      <c r="D72" t="str">
        <f t="shared" si="4"/>
        <v>https://vgmdb.net/album/18726</v>
      </c>
      <c r="E72">
        <f>COUNTIF($C72:$C$234,C72)-1</f>
        <v>0</v>
      </c>
      <c r="F72" t="s">
        <v>72</v>
      </c>
      <c r="K72">
        <f>IF(ISERROR(MATCH(C72,C$1:C71,0)),0,1)</f>
        <v>0</v>
      </c>
    </row>
    <row r="73" spans="1:11" x14ac:dyDescent="0.75">
      <c r="A73" t="str">
        <f t="shared" si="3"/>
        <v>https://vgmdb.net/album/18730</v>
      </c>
      <c r="B73" t="s">
        <v>219</v>
      </c>
      <c r="C73" t="str">
        <f t="shared" si="6"/>
        <v>POCH-1505</v>
      </c>
      <c r="D73" t="str">
        <f t="shared" si="4"/>
        <v>https://vgmdb.net/album/18730</v>
      </c>
      <c r="E73">
        <f>COUNTIF($C73:$C$234,C73)-1</f>
        <v>0</v>
      </c>
      <c r="F73" t="s">
        <v>73</v>
      </c>
      <c r="K73">
        <f>IF(ISERROR(MATCH(C73,C$1:C72,0)),0,1)</f>
        <v>0</v>
      </c>
    </row>
    <row r="74" spans="1:11" x14ac:dyDescent="0.75">
      <c r="A74" t="str">
        <f t="shared" si="3"/>
        <v>https://vgmdb.net/album/18789</v>
      </c>
      <c r="B74" t="s">
        <v>219</v>
      </c>
      <c r="C74" t="str">
        <f t="shared" si="6"/>
        <v>POCX-1076</v>
      </c>
      <c r="D74" t="str">
        <f t="shared" si="4"/>
        <v>https://vgmdb.net/album/18789</v>
      </c>
      <c r="E74">
        <f>COUNTIF($C74:$C$234,C74)-1</f>
        <v>0</v>
      </c>
      <c r="F74" t="s">
        <v>74</v>
      </c>
      <c r="K74">
        <f>IF(ISERROR(MATCH(C74,C$1:C73,0)),0,1)</f>
        <v>0</v>
      </c>
    </row>
    <row r="75" spans="1:11" x14ac:dyDescent="0.75">
      <c r="A75" t="str">
        <f t="shared" si="3"/>
        <v>https://vgmdb.net/album/18790</v>
      </c>
      <c r="B75" t="s">
        <v>219</v>
      </c>
      <c r="C75" t="str">
        <f t="shared" si="6"/>
        <v>POCX-1077</v>
      </c>
      <c r="D75" t="str">
        <f t="shared" si="4"/>
        <v>https://vgmdb.net/album/18790</v>
      </c>
      <c r="E75">
        <f>COUNTIF($C75:$C$234,C75)-1</f>
        <v>0</v>
      </c>
      <c r="F75" t="s">
        <v>75</v>
      </c>
      <c r="K75">
        <f>IF(ISERROR(MATCH(C75,C$1:C74,0)),0,1)</f>
        <v>0</v>
      </c>
    </row>
    <row r="76" spans="1:11" x14ac:dyDescent="0.75">
      <c r="A76" t="str">
        <f t="shared" si="3"/>
        <v>https://vgmdb.net/album/75167</v>
      </c>
      <c r="B76" t="s">
        <v>219</v>
      </c>
      <c r="C76" t="str">
        <f t="shared" si="6"/>
        <v>GA-018</v>
      </c>
      <c r="D76" t="str">
        <f t="shared" si="4"/>
        <v>https://vgmdb.net/album/75167</v>
      </c>
      <c r="E76">
        <f>COUNTIF($C76:$C$234,C76)-1</f>
        <v>0</v>
      </c>
      <c r="F76" t="s">
        <v>76</v>
      </c>
      <c r="K76">
        <f>IF(ISERROR(MATCH(C76,C$1:C75,0)),0,1)</f>
        <v>0</v>
      </c>
    </row>
    <row r="77" spans="1:11" x14ac:dyDescent="0.75">
      <c r="A77" t="str">
        <f t="shared" si="3"/>
        <v>https://vgmdb.net/album/75166</v>
      </c>
      <c r="B77" t="s">
        <v>219</v>
      </c>
      <c r="C77" t="str">
        <f t="shared" si="6"/>
        <v>GA-045</v>
      </c>
      <c r="D77" t="str">
        <f t="shared" si="4"/>
        <v>https://vgmdb.net/album/75166</v>
      </c>
      <c r="E77">
        <f>COUNTIF($C77:$C$234,C77)-1</f>
        <v>0</v>
      </c>
      <c r="F77" t="s">
        <v>77</v>
      </c>
      <c r="K77">
        <f>IF(ISERROR(MATCH(C77,C$1:C76,0)),0,1)</f>
        <v>0</v>
      </c>
    </row>
    <row r="78" spans="1:11" x14ac:dyDescent="0.75">
      <c r="A78" t="str">
        <f t="shared" si="3"/>
        <v>https://vgmdb.net/album/23314</v>
      </c>
      <c r="B78" t="s">
        <v>219</v>
      </c>
      <c r="C78" t="str">
        <f t="shared" si="6"/>
        <v>POCX-1015</v>
      </c>
      <c r="D78" t="str">
        <f t="shared" si="4"/>
        <v>https://vgmdb.net/album/23314</v>
      </c>
      <c r="E78">
        <f>COUNTIF($C78:$C$234,C78)-1</f>
        <v>0</v>
      </c>
      <c r="F78" t="s">
        <v>78</v>
      </c>
      <c r="K78">
        <f>IF(ISERROR(MATCH(C78,C$1:C77,0)),0,1)</f>
        <v>0</v>
      </c>
    </row>
    <row r="79" spans="1:11" x14ac:dyDescent="0.75">
      <c r="A79" t="str">
        <f t="shared" si="3"/>
        <v>https://vgmdb.net/album/18720</v>
      </c>
      <c r="B79" t="s">
        <v>219</v>
      </c>
      <c r="C79" t="str">
        <f t="shared" si="6"/>
        <v>POCH-1424</v>
      </c>
      <c r="D79" t="str">
        <f t="shared" si="4"/>
        <v>https://vgmdb.net/album/18720</v>
      </c>
      <c r="E79">
        <f>COUNTIF($C79:$C$234,C79)-1</f>
        <v>0</v>
      </c>
      <c r="F79" t="s">
        <v>79</v>
      </c>
      <c r="K79">
        <f>IF(ISERROR(MATCH(C79,C$1:C78,0)),0,1)</f>
        <v>0</v>
      </c>
    </row>
    <row r="80" spans="1:11" x14ac:dyDescent="0.75">
      <c r="A80" t="str">
        <f t="shared" si="3"/>
        <v>https://vgmdb.net/album/75162</v>
      </c>
      <c r="B80" t="s">
        <v>219</v>
      </c>
      <c r="C80" t="str">
        <f t="shared" si="6"/>
        <v>GGG-051</v>
      </c>
      <c r="D80" t="str">
        <f t="shared" si="4"/>
        <v>https://vgmdb.net/album/75162</v>
      </c>
      <c r="E80">
        <f>COUNTIF($C80:$C$234,C80)-1</f>
        <v>0</v>
      </c>
      <c r="F80" t="s">
        <v>80</v>
      </c>
      <c r="K80">
        <f>IF(ISERROR(MATCH(C80,C$1:C79,0)),0,1)</f>
        <v>0</v>
      </c>
    </row>
    <row r="81" spans="1:11" x14ac:dyDescent="0.75">
      <c r="A81" t="str">
        <f t="shared" si="3"/>
        <v>https://vgmdb.net/album/19413</v>
      </c>
      <c r="B81" t="s">
        <v>219</v>
      </c>
      <c r="C81" t="str">
        <f t="shared" si="6"/>
        <v>MJCG-80068</v>
      </c>
      <c r="D81" t="str">
        <f t="shared" si="4"/>
        <v>https://vgmdb.net/album/19413</v>
      </c>
      <c r="E81">
        <f>COUNTIF($C81:$C$234,C81)-1</f>
        <v>0</v>
      </c>
      <c r="F81" t="s">
        <v>81</v>
      </c>
      <c r="K81">
        <f>IF(ISERROR(MATCH(C81,C$1:C80,0)),0,1)</f>
        <v>0</v>
      </c>
    </row>
    <row r="82" spans="1:11" x14ac:dyDescent="0.75">
      <c r="A82" t="str">
        <f t="shared" si="3"/>
        <v>https://vgmdb.net/album/24916</v>
      </c>
      <c r="B82" t="s">
        <v>219</v>
      </c>
      <c r="C82" t="str">
        <f t="shared" si="6"/>
        <v>COCC-7027</v>
      </c>
      <c r="D82" t="str">
        <f t="shared" si="4"/>
        <v>https://vgmdb.net/album/24916</v>
      </c>
      <c r="E82">
        <f>COUNTIF($C82:$C$234,C82)-1</f>
        <v>0</v>
      </c>
      <c r="F82" t="s">
        <v>82</v>
      </c>
      <c r="K82">
        <f>IF(ISERROR(MATCH(C82,C$1:C81,0)),0,1)</f>
        <v>0</v>
      </c>
    </row>
    <row r="83" spans="1:11" x14ac:dyDescent="0.75">
      <c r="A83" t="str">
        <f t="shared" si="3"/>
        <v>https://vgmdb.net/album/51738</v>
      </c>
      <c r="B83" t="s">
        <v>219</v>
      </c>
      <c r="C83" t="str">
        <f t="shared" si="6"/>
        <v>COCC-72271</v>
      </c>
      <c r="D83" t="str">
        <f t="shared" si="4"/>
        <v>https://vgmdb.net/album/51738</v>
      </c>
      <c r="E83">
        <f>COUNTIF($C83:$C$234,C83)-1</f>
        <v>0</v>
      </c>
      <c r="F83" t="s">
        <v>83</v>
      </c>
      <c r="K83">
        <f>IF(ISERROR(MATCH(C83,C$1:C82,0)),0,1)</f>
        <v>0</v>
      </c>
    </row>
    <row r="84" spans="1:11" x14ac:dyDescent="0.75">
      <c r="A84" t="str">
        <f t="shared" ref="A84:A142" si="7">LEFT(D84,FIND(" (",D84&amp;" ("))</f>
        <v>https://vgmdb.net/album/43768</v>
      </c>
      <c r="B84" t="s">
        <v>219</v>
      </c>
      <c r="C84" t="str">
        <f t="shared" si="6"/>
        <v>COCC-7704</v>
      </c>
      <c r="D84" t="str">
        <f t="shared" ref="D84:D142" si="8">MID(F84,FIND(" | ",F84)+3,100)</f>
        <v>https://vgmdb.net/album/43768</v>
      </c>
      <c r="E84">
        <f>COUNTIF($C84:$C$234,C84)-1</f>
        <v>0</v>
      </c>
      <c r="F84" t="s">
        <v>84</v>
      </c>
      <c r="K84">
        <f>IF(ISERROR(MATCH(C84,C$1:C83,0)),0,1)</f>
        <v>0</v>
      </c>
    </row>
    <row r="85" spans="1:11" x14ac:dyDescent="0.75">
      <c r="A85" t="str">
        <f t="shared" si="7"/>
        <v>https://vgmdb.net/album/70059</v>
      </c>
      <c r="B85" t="s">
        <v>219</v>
      </c>
      <c r="C85" t="str">
        <f t="shared" si="6"/>
        <v>H35K-20118</v>
      </c>
      <c r="D85" t="str">
        <f t="shared" si="8"/>
        <v>https://vgmdb.net/album/70059</v>
      </c>
      <c r="E85">
        <f>COUNTIF($C85:$C$234,C85)-1</f>
        <v>0</v>
      </c>
      <c r="F85" t="s">
        <v>85</v>
      </c>
      <c r="K85">
        <f>IF(ISERROR(MATCH(C85,C$1:C84,0)),0,1)</f>
        <v>0</v>
      </c>
    </row>
    <row r="86" spans="1:11" x14ac:dyDescent="0.75">
      <c r="A86" t="str">
        <f t="shared" si="7"/>
        <v>https://vgmdb.net/album/64716</v>
      </c>
      <c r="B86" t="s">
        <v>219</v>
      </c>
      <c r="C86" t="str">
        <f t="shared" si="6"/>
        <v>H30K-20116</v>
      </c>
      <c r="D86" t="str">
        <f t="shared" si="8"/>
        <v>https://vgmdb.net/album/64716</v>
      </c>
      <c r="E86">
        <f>COUNTIF($C86:$C$234,C86)-1</f>
        <v>0</v>
      </c>
      <c r="F86" t="s">
        <v>86</v>
      </c>
      <c r="K86">
        <f>IF(ISERROR(MATCH(C86,C$1:C85,0)),0,1)</f>
        <v>0</v>
      </c>
    </row>
    <row r="87" spans="1:11" x14ac:dyDescent="0.75">
      <c r="A87" t="str">
        <f t="shared" si="7"/>
        <v>https://vgmdb.net/album/70060</v>
      </c>
      <c r="B87" t="s">
        <v>219</v>
      </c>
      <c r="C87" t="str">
        <f t="shared" si="6"/>
        <v>KTCR-1166</v>
      </c>
      <c r="D87" t="str">
        <f t="shared" si="8"/>
        <v>https://vgmdb.net/album/70060</v>
      </c>
      <c r="E87">
        <f>COUNTIF($C87:$C$234,C87)-1</f>
        <v>0</v>
      </c>
      <c r="F87" t="s">
        <v>87</v>
      </c>
      <c r="K87">
        <f>IF(ISERROR(MATCH(C87,C$1:C86,0)),0,1)</f>
        <v>0</v>
      </c>
    </row>
    <row r="88" spans="1:11" x14ac:dyDescent="0.75">
      <c r="A88" t="str">
        <f t="shared" si="7"/>
        <v>https://vgmdb.net/album/64698</v>
      </c>
      <c r="B88" t="s">
        <v>219</v>
      </c>
      <c r="C88" t="str">
        <f t="shared" si="6"/>
        <v>H33K-20076</v>
      </c>
      <c r="D88" t="str">
        <f t="shared" si="8"/>
        <v>https://vgmdb.net/album/64698</v>
      </c>
      <c r="E88">
        <f>COUNTIF($C88:$C$234,C88)-1</f>
        <v>0</v>
      </c>
      <c r="F88" t="s">
        <v>88</v>
      </c>
      <c r="K88">
        <f>IF(ISERROR(MATCH(C88,C$1:C87,0)),0,1)</f>
        <v>0</v>
      </c>
    </row>
    <row r="89" spans="1:11" x14ac:dyDescent="0.75">
      <c r="A89" t="str">
        <f t="shared" si="7"/>
        <v>https://vgmdb.net/album/64685</v>
      </c>
      <c r="B89" t="s">
        <v>219</v>
      </c>
      <c r="C89" t="str">
        <f t="shared" si="6"/>
        <v>KTCR-1060</v>
      </c>
      <c r="D89" t="str">
        <f t="shared" si="8"/>
        <v>https://vgmdb.net/album/64685</v>
      </c>
      <c r="E89">
        <f>COUNTIF($C89:$C$234,C89)-1</f>
        <v>0</v>
      </c>
      <c r="F89" t="s">
        <v>89</v>
      </c>
      <c r="K89">
        <f>IF(ISERROR(MATCH(C89,C$1:C88,0)),0,1)</f>
        <v>0</v>
      </c>
    </row>
    <row r="90" spans="1:11" x14ac:dyDescent="0.75">
      <c r="A90" t="str">
        <f t="shared" si="7"/>
        <v>https://vgmdb.net/album/57703</v>
      </c>
      <c r="B90" t="s">
        <v>219</v>
      </c>
      <c r="C90" t="str">
        <f t="shared" si="6"/>
        <v>H33K-20030</v>
      </c>
      <c r="D90" t="str">
        <f t="shared" si="8"/>
        <v>https://vgmdb.net/album/57703</v>
      </c>
      <c r="E90">
        <f>COUNTIF($C90:$C$234,C90)-1</f>
        <v>0</v>
      </c>
      <c r="F90" t="s">
        <v>90</v>
      </c>
      <c r="K90">
        <f>IF(ISERROR(MATCH(C90,C$1:C89,0)),0,1)</f>
        <v>0</v>
      </c>
    </row>
    <row r="91" spans="1:11" x14ac:dyDescent="0.75">
      <c r="A91" t="str">
        <f t="shared" si="7"/>
        <v>https://vgmdb.net/album/70057</v>
      </c>
      <c r="B91" t="s">
        <v>219</v>
      </c>
      <c r="C91" t="str">
        <f t="shared" si="6"/>
        <v>H00K-20162</v>
      </c>
      <c r="D91" t="str">
        <f t="shared" si="8"/>
        <v>https://vgmdb.net/album/70057</v>
      </c>
      <c r="E91">
        <f>COUNTIF($C91:$C$234,C91)-1</f>
        <v>0</v>
      </c>
      <c r="F91" t="s">
        <v>91</v>
      </c>
      <c r="K91">
        <f>IF(ISERROR(MATCH(C91,C$1:C90,0)),0,1)</f>
        <v>0</v>
      </c>
    </row>
    <row r="92" spans="1:11" x14ac:dyDescent="0.75">
      <c r="A92" t="str">
        <f t="shared" si="7"/>
        <v>https://vgmdb.net/album/70058</v>
      </c>
      <c r="B92" t="s">
        <v>219</v>
      </c>
      <c r="C92" t="str">
        <f t="shared" si="6"/>
        <v>H30K-20135</v>
      </c>
      <c r="D92" t="str">
        <f t="shared" si="8"/>
        <v>https://vgmdb.net/album/70058</v>
      </c>
      <c r="E92">
        <f>COUNTIF($C92:$C$234,C92)-1</f>
        <v>0</v>
      </c>
      <c r="F92" t="s">
        <v>92</v>
      </c>
      <c r="K92">
        <f>IF(ISERROR(MATCH(C92,C$1:C91,0)),0,1)</f>
        <v>0</v>
      </c>
    </row>
    <row r="93" spans="1:11" x14ac:dyDescent="0.75">
      <c r="A93" t="str">
        <f t="shared" si="7"/>
        <v>https://vgmdb.net/album/70442</v>
      </c>
      <c r="B93" t="s">
        <v>219</v>
      </c>
      <c r="C93" t="str">
        <f t="shared" si="6"/>
        <v>APCM-5080</v>
      </c>
      <c r="D93" t="str">
        <f t="shared" si="8"/>
        <v>https://vgmdb.net/album/70442</v>
      </c>
      <c r="E93">
        <f>COUNTIF($C93:$C$234,C93)-1</f>
        <v>0</v>
      </c>
      <c r="F93" t="s">
        <v>93</v>
      </c>
      <c r="K93">
        <f>IF(ISERROR(MATCH(C93,C$1:C92,0)),0,1)</f>
        <v>0</v>
      </c>
    </row>
    <row r="94" spans="1:11" x14ac:dyDescent="0.75">
      <c r="A94" t="str">
        <f t="shared" si="7"/>
        <v>https://vgmdb.net/album/51845</v>
      </c>
      <c r="B94" t="s">
        <v>219</v>
      </c>
      <c r="C94" t="str">
        <f t="shared" si="6"/>
        <v>APCM-5063</v>
      </c>
      <c r="D94" t="str">
        <f t="shared" si="8"/>
        <v>https://vgmdb.net/album/51845</v>
      </c>
      <c r="E94">
        <f>COUNTIF($C94:$C$234,C94)-1</f>
        <v>0</v>
      </c>
      <c r="F94" t="s">
        <v>94</v>
      </c>
      <c r="K94">
        <f>IF(ISERROR(MATCH(C94,C$1:C93,0)),0,1)</f>
        <v>0</v>
      </c>
    </row>
    <row r="95" spans="1:11" x14ac:dyDescent="0.75">
      <c r="A95" t="str">
        <f t="shared" si="7"/>
        <v>https://vgmdb.net/album/58326</v>
      </c>
      <c r="B95" t="s">
        <v>219</v>
      </c>
      <c r="C95" t="str">
        <f t="shared" si="6"/>
        <v>KICA-79</v>
      </c>
      <c r="D95" t="str">
        <f t="shared" si="8"/>
        <v>https://vgmdb.net/album/58326</v>
      </c>
      <c r="E95">
        <f>COUNTIF($C95:$C$234,C95)-1</f>
        <v>0</v>
      </c>
      <c r="F95" t="s">
        <v>95</v>
      </c>
      <c r="K95">
        <f>IF(ISERROR(MATCH(C95,C$1:C94,0)),0,1)</f>
        <v>0</v>
      </c>
    </row>
    <row r="96" spans="1:11" x14ac:dyDescent="0.75">
      <c r="A96" t="str">
        <f t="shared" si="7"/>
        <v>https://vgmdb.net/album/67876</v>
      </c>
      <c r="B96" t="s">
        <v>219</v>
      </c>
      <c r="C96" t="str">
        <f t="shared" si="6"/>
        <v>VDR-1085</v>
      </c>
      <c r="D96" t="str">
        <f t="shared" si="8"/>
        <v>https://vgmdb.net/album/67876</v>
      </c>
      <c r="E96">
        <f>COUNTIF($C96:$C$234,C96)-1</f>
        <v>0</v>
      </c>
      <c r="F96" t="s">
        <v>96</v>
      </c>
      <c r="K96">
        <f>IF(ISERROR(MATCH(C96,C$1:C95,0)),0,1)</f>
        <v>0</v>
      </c>
    </row>
    <row r="97" spans="1:11" x14ac:dyDescent="0.75">
      <c r="A97" t="str">
        <f t="shared" si="7"/>
        <v>https://vgmdb.net/album/58372</v>
      </c>
      <c r="B97" t="s">
        <v>219</v>
      </c>
      <c r="C97" t="str">
        <f t="shared" si="6"/>
        <v>KICA-131</v>
      </c>
      <c r="D97" t="str">
        <f t="shared" si="8"/>
        <v>https://vgmdb.net/album/58372</v>
      </c>
      <c r="E97">
        <f>COUNTIF($C97:$C$234,C97)-1</f>
        <v>0</v>
      </c>
      <c r="F97" t="s">
        <v>97</v>
      </c>
      <c r="K97">
        <f>IF(ISERROR(MATCH(C97,C$1:C96,0)),0,1)</f>
        <v>0</v>
      </c>
    </row>
    <row r="98" spans="1:11" x14ac:dyDescent="0.75">
      <c r="A98" t="str">
        <f t="shared" si="7"/>
        <v>https://vgmdb.net/album/47947</v>
      </c>
      <c r="B98" t="s">
        <v>219</v>
      </c>
      <c r="C98" t="str">
        <f t="shared" si="6"/>
        <v>KICA-146</v>
      </c>
      <c r="D98" t="str">
        <f t="shared" si="8"/>
        <v>https://vgmdb.net/album/47947</v>
      </c>
      <c r="E98">
        <f>COUNTIF($C98:$C$234,C98)-1</f>
        <v>0</v>
      </c>
      <c r="F98" t="s">
        <v>98</v>
      </c>
      <c r="K98">
        <f>IF(ISERROR(MATCH(C98,C$1:C97,0)),0,1)</f>
        <v>0</v>
      </c>
    </row>
    <row r="99" spans="1:11" x14ac:dyDescent="0.75">
      <c r="A99" t="str">
        <f t="shared" si="7"/>
        <v>https://vgmdb.net/album/58363</v>
      </c>
      <c r="B99" t="s">
        <v>219</v>
      </c>
      <c r="C99" t="str">
        <f t="shared" si="6"/>
        <v>KICA-120</v>
      </c>
      <c r="D99" t="str">
        <f t="shared" si="8"/>
        <v>https://vgmdb.net/album/58363</v>
      </c>
      <c r="E99">
        <f>COUNTIF($C99:$C$234,C99)-1</f>
        <v>0</v>
      </c>
      <c r="F99" t="s">
        <v>99</v>
      </c>
      <c r="K99">
        <f>IF(ISERROR(MATCH(C99,C$1:C98,0)),0,1)</f>
        <v>0</v>
      </c>
    </row>
    <row r="100" spans="1:11" x14ac:dyDescent="0.75">
      <c r="A100" t="str">
        <f t="shared" si="7"/>
        <v>https://vgmdb.net/album/22376</v>
      </c>
      <c r="B100" t="s">
        <v>219</v>
      </c>
      <c r="C100" t="str">
        <f t="shared" si="6"/>
        <v>KICA-410</v>
      </c>
      <c r="D100" t="str">
        <f t="shared" si="8"/>
        <v>https://vgmdb.net/album/22376</v>
      </c>
      <c r="E100">
        <f>COUNTIF($C100:$C$234,C100)-1</f>
        <v>0</v>
      </c>
      <c r="F100" t="s">
        <v>100</v>
      </c>
      <c r="K100">
        <f>IF(ISERROR(MATCH(C100,C$1:C99,0)),0,1)</f>
        <v>0</v>
      </c>
    </row>
    <row r="101" spans="1:11" x14ac:dyDescent="0.75">
      <c r="A101" t="str">
        <f t="shared" si="7"/>
        <v>https://vgmdb.net/album/2435</v>
      </c>
      <c r="B101" t="s">
        <v>219</v>
      </c>
      <c r="C101" t="str">
        <f t="shared" si="6"/>
        <v>MJCG-80042</v>
      </c>
      <c r="D101" t="str">
        <f t="shared" si="8"/>
        <v>https://vgmdb.net/album/2435</v>
      </c>
      <c r="E101">
        <f>COUNTIF($C101:$C$234,C101)-1</f>
        <v>0</v>
      </c>
      <c r="F101" t="s">
        <v>101</v>
      </c>
      <c r="K101">
        <f>IF(ISERROR(MATCH(C101,C$1:C100,0)),0,1)</f>
        <v>0</v>
      </c>
    </row>
    <row r="102" spans="1:11" x14ac:dyDescent="0.75">
      <c r="A102" t="str">
        <f t="shared" si="7"/>
        <v>https://vgmdb.net/album/24580</v>
      </c>
      <c r="B102" t="s">
        <v>219</v>
      </c>
      <c r="C102" t="str">
        <f t="shared" si="6"/>
        <v>TKCA-70134</v>
      </c>
      <c r="D102" t="str">
        <f t="shared" si="8"/>
        <v>https://vgmdb.net/album/24580</v>
      </c>
      <c r="E102">
        <f>COUNTIF($C102:$C$234,C102)-1</f>
        <v>0</v>
      </c>
      <c r="F102" t="s">
        <v>102</v>
      </c>
      <c r="K102">
        <f>IF(ISERROR(MATCH(C102,C$1:C101,0)),0,1)</f>
        <v>0</v>
      </c>
    </row>
    <row r="103" spans="1:11" x14ac:dyDescent="0.75">
      <c r="A103" t="str">
        <f t="shared" si="7"/>
        <v>https://vgmdb.net/album/19791</v>
      </c>
      <c r="B103" t="s">
        <v>219</v>
      </c>
      <c r="C103" t="str">
        <f t="shared" si="6"/>
        <v>KICA-300</v>
      </c>
      <c r="D103" t="str">
        <f t="shared" si="8"/>
        <v>https://vgmdb.net/album/19791</v>
      </c>
      <c r="E103">
        <f>COUNTIF($C103:$C$234,C103)-1</f>
        <v>0</v>
      </c>
      <c r="F103" t="s">
        <v>103</v>
      </c>
      <c r="K103">
        <f>IF(ISERROR(MATCH(C103,C$1:C102,0)),0,1)</f>
        <v>0</v>
      </c>
    </row>
    <row r="104" spans="1:11" x14ac:dyDescent="0.75">
      <c r="A104" t="str">
        <f t="shared" si="7"/>
        <v>https://vgmdb.net/album/19776</v>
      </c>
      <c r="B104" t="s">
        <v>219</v>
      </c>
      <c r="C104" t="str">
        <f t="shared" si="6"/>
        <v>KICA-286</v>
      </c>
      <c r="D104" t="str">
        <f t="shared" si="8"/>
        <v>https://vgmdb.net/album/19776</v>
      </c>
      <c r="E104">
        <f>COUNTIF($C104:$C$234,C104)-1</f>
        <v>0</v>
      </c>
      <c r="F104" t="s">
        <v>104</v>
      </c>
      <c r="K104">
        <f>IF(ISERROR(MATCH(C104,C$1:C103,0)),0,1)</f>
        <v>0</v>
      </c>
    </row>
    <row r="105" spans="1:11" x14ac:dyDescent="0.75">
      <c r="A105" t="str">
        <f t="shared" si="7"/>
        <v>https://vgmdb.net/album/19789</v>
      </c>
      <c r="B105" t="s">
        <v>219</v>
      </c>
      <c r="C105" t="str">
        <f t="shared" si="6"/>
        <v>KICA-290</v>
      </c>
      <c r="D105" t="str">
        <f t="shared" si="8"/>
        <v>https://vgmdb.net/album/19789</v>
      </c>
      <c r="E105">
        <f>COUNTIF($C105:$C$234,C105)-1</f>
        <v>0</v>
      </c>
      <c r="F105" t="s">
        <v>105</v>
      </c>
      <c r="K105">
        <f>IF(ISERROR(MATCH(C105,C$1:C104,0)),0,1)</f>
        <v>0</v>
      </c>
    </row>
    <row r="106" spans="1:11" x14ac:dyDescent="0.75">
      <c r="A106" t="str">
        <f t="shared" si="7"/>
        <v>https://vgmdb.net/album/22651</v>
      </c>
      <c r="B106" t="s">
        <v>219</v>
      </c>
      <c r="C106" t="str">
        <f t="shared" si="6"/>
        <v>KICA-378</v>
      </c>
      <c r="D106" t="str">
        <f t="shared" si="8"/>
        <v>https://vgmdb.net/album/22651</v>
      </c>
      <c r="E106">
        <f>COUNTIF($C106:$C$234,C106)-1</f>
        <v>0</v>
      </c>
      <c r="F106" t="s">
        <v>106</v>
      </c>
      <c r="K106">
        <f>IF(ISERROR(MATCH(C106,C$1:C105,0)),0,1)</f>
        <v>0</v>
      </c>
    </row>
    <row r="107" spans="1:11" x14ac:dyDescent="0.75">
      <c r="A107" t="str">
        <f t="shared" si="7"/>
        <v>https://vgmdb.net/album/19795</v>
      </c>
      <c r="B107" t="s">
        <v>219</v>
      </c>
      <c r="C107" t="str">
        <f t="shared" si="6"/>
        <v>KICA-370</v>
      </c>
      <c r="D107" t="str">
        <f t="shared" si="8"/>
        <v>https://vgmdb.net/album/19795</v>
      </c>
      <c r="E107">
        <f>COUNTIF($C107:$C$234,C107)-1</f>
        <v>0</v>
      </c>
      <c r="F107" t="s">
        <v>107</v>
      </c>
      <c r="K107">
        <f>IF(ISERROR(MATCH(C107,C$1:C106,0)),0,1)</f>
        <v>0</v>
      </c>
    </row>
    <row r="108" spans="1:11" x14ac:dyDescent="0.75">
      <c r="A108" t="str">
        <f t="shared" si="7"/>
        <v>https://vgmdb.net/album/71120</v>
      </c>
      <c r="B108" t="s">
        <v>219</v>
      </c>
      <c r="C108" t="str">
        <f t="shared" si="6"/>
        <v>PICA-1210</v>
      </c>
      <c r="D108" t="str">
        <f t="shared" si="8"/>
        <v>https://vgmdb.net/album/71120</v>
      </c>
      <c r="E108">
        <f>COUNTIF($C108:$C$234,C108)-1</f>
        <v>0</v>
      </c>
      <c r="F108" t="s">
        <v>108</v>
      </c>
      <c r="K108">
        <f>IF(ISERROR(MATCH(C108,C$1:C107,0)),0,1)</f>
        <v>0</v>
      </c>
    </row>
    <row r="109" spans="1:11" x14ac:dyDescent="0.75">
      <c r="A109" t="str">
        <f t="shared" si="7"/>
        <v>https://vgmdb.net/album/24556</v>
      </c>
      <c r="B109" t="s">
        <v>219</v>
      </c>
      <c r="C109" t="str">
        <f t="shared" si="6"/>
        <v>TECN-15341</v>
      </c>
      <c r="D109" t="str">
        <f t="shared" si="8"/>
        <v>https://vgmdb.net/album/24556</v>
      </c>
      <c r="E109">
        <f>COUNTIF($C109:$C$234,C109)-1</f>
        <v>0</v>
      </c>
      <c r="F109" t="s">
        <v>109</v>
      </c>
      <c r="K109">
        <f>IF(ISERROR(MATCH(C109,C$1:C108,0)),0,1)</f>
        <v>0</v>
      </c>
    </row>
    <row r="110" spans="1:11" x14ac:dyDescent="0.75">
      <c r="A110" t="str">
        <f t="shared" si="7"/>
        <v>https://vgmdb.net/album/13669</v>
      </c>
      <c r="B110" t="s">
        <v>219</v>
      </c>
      <c r="C110" t="str">
        <f t="shared" si="6"/>
        <v>BVCH-1413</v>
      </c>
      <c r="D110" t="str">
        <f t="shared" si="8"/>
        <v>https://vgmdb.net/album/13669</v>
      </c>
      <c r="E110">
        <f>COUNTIF($C110:$C$234,C110)-1</f>
        <v>0</v>
      </c>
      <c r="F110" t="s">
        <v>110</v>
      </c>
      <c r="K110">
        <f>IF(ISERROR(MATCH(C110,C$1:C109,0)),0,1)</f>
        <v>0</v>
      </c>
    </row>
    <row r="111" spans="1:11" x14ac:dyDescent="0.75">
      <c r="A111" t="str">
        <f t="shared" si="7"/>
        <v>https://vgmdb.net/album/57625</v>
      </c>
      <c r="B111" t="s">
        <v>219</v>
      </c>
      <c r="C111" t="str">
        <f t="shared" si="6"/>
        <v>KICA-140</v>
      </c>
      <c r="D111" t="str">
        <f t="shared" si="8"/>
        <v>https://vgmdb.net/album/57625</v>
      </c>
      <c r="E111">
        <f>COUNTIF($C111:$C$234,C111)-1</f>
        <v>0</v>
      </c>
      <c r="F111" t="s">
        <v>111</v>
      </c>
      <c r="K111">
        <f>IF(ISERROR(MATCH(C111,C$1:C110,0)),0,1)</f>
        <v>0</v>
      </c>
    </row>
    <row r="112" spans="1:11" x14ac:dyDescent="0.75">
      <c r="A112" t="str">
        <f t="shared" si="7"/>
        <v>https://vgmdb.net/album/57632</v>
      </c>
      <c r="B112" t="s">
        <v>219</v>
      </c>
      <c r="C112" t="str">
        <f t="shared" si="6"/>
        <v>KICA-398</v>
      </c>
      <c r="D112" t="str">
        <f t="shared" si="8"/>
        <v>https://vgmdb.net/album/57632</v>
      </c>
      <c r="E112">
        <f>COUNTIF($C112:$C$234,C112)-1</f>
        <v>0</v>
      </c>
      <c r="F112" t="s">
        <v>112</v>
      </c>
      <c r="K112">
        <f>IF(ISERROR(MATCH(C112,C$1:C111,0)),0,1)</f>
        <v>0</v>
      </c>
    </row>
    <row r="113" spans="1:11" x14ac:dyDescent="0.75">
      <c r="A113" t="str">
        <f t="shared" si="7"/>
        <v>https://vgmdb.net/album/57662</v>
      </c>
      <c r="B113" t="s">
        <v>219</v>
      </c>
      <c r="C113" t="str">
        <f t="shared" si="6"/>
        <v>KICA-394</v>
      </c>
      <c r="D113" t="str">
        <f t="shared" si="8"/>
        <v>https://vgmdb.net/album/57662</v>
      </c>
      <c r="E113">
        <f>COUNTIF($C113:$C$234,C113)-1</f>
        <v>0</v>
      </c>
      <c r="F113" t="s">
        <v>113</v>
      </c>
      <c r="K113">
        <f>IF(ISERROR(MATCH(C113,C$1:C112,0)),0,1)</f>
        <v>0</v>
      </c>
    </row>
    <row r="114" spans="1:11" x14ac:dyDescent="0.75">
      <c r="A114" t="str">
        <f t="shared" si="7"/>
        <v>https://vgmdb.net/album/29044</v>
      </c>
      <c r="B114" t="s">
        <v>219</v>
      </c>
      <c r="C114" t="str">
        <f t="shared" si="6"/>
        <v>MACM-1061</v>
      </c>
      <c r="D114" t="str">
        <f t="shared" si="8"/>
        <v>https://vgmdb.net/album/29044</v>
      </c>
      <c r="E114">
        <f>COUNTIF($C114:$C$234,C114)-1</f>
        <v>0</v>
      </c>
      <c r="F114" t="s">
        <v>114</v>
      </c>
      <c r="K114">
        <f>IF(ISERROR(MATCH(C114,C$1:C113,0)),0,1)</f>
        <v>0</v>
      </c>
    </row>
    <row r="115" spans="1:11" x14ac:dyDescent="0.75">
      <c r="A115" t="str">
        <f t="shared" si="7"/>
        <v>https://vgmdb.net/album/19471</v>
      </c>
      <c r="B115" t="s">
        <v>219</v>
      </c>
      <c r="C115" t="str">
        <f t="shared" si="6"/>
        <v>VICL-60183</v>
      </c>
      <c r="D115" t="str">
        <f t="shared" si="8"/>
        <v>https://vgmdb.net/album/19471</v>
      </c>
      <c r="E115">
        <f>COUNTIF($C115:$C$234,C115)-1</f>
        <v>0</v>
      </c>
      <c r="F115" t="s">
        <v>115</v>
      </c>
      <c r="K115">
        <f>IF(ISERROR(MATCH(C115,C$1:C114,0)),0,1)</f>
        <v>0</v>
      </c>
    </row>
    <row r="116" spans="1:11" x14ac:dyDescent="0.75">
      <c r="A116" t="str">
        <f t="shared" si="7"/>
        <v>https://vgmdb.net/album/50335</v>
      </c>
      <c r="B116" t="s">
        <v>219</v>
      </c>
      <c r="C116" t="str">
        <f t="shared" si="6"/>
        <v>VPCG-84204</v>
      </c>
      <c r="D116" t="str">
        <f t="shared" si="8"/>
        <v>https://vgmdb.net/album/50335</v>
      </c>
      <c r="E116">
        <f>COUNTIF($C116:$C$234,C116)-1</f>
        <v>0</v>
      </c>
      <c r="F116" t="s">
        <v>116</v>
      </c>
      <c r="K116">
        <f>IF(ISERROR(MATCH(C116,C$1:C115,0)),0,1)</f>
        <v>0</v>
      </c>
    </row>
    <row r="117" spans="1:11" x14ac:dyDescent="0.75">
      <c r="A117" t="str">
        <f t="shared" si="7"/>
        <v>https://vgmdb.net/album/21909</v>
      </c>
      <c r="B117" t="s">
        <v>219</v>
      </c>
      <c r="C117" t="str">
        <f t="shared" si="6"/>
        <v>PICA-1045</v>
      </c>
      <c r="D117" t="str">
        <f t="shared" si="8"/>
        <v>https://vgmdb.net/album/21909</v>
      </c>
      <c r="E117">
        <f>COUNTIF($C117:$C$234,C117)-1</f>
        <v>0</v>
      </c>
      <c r="F117" t="s">
        <v>117</v>
      </c>
      <c r="K117">
        <f>IF(ISERROR(MATCH(C117,C$1:C116,0)),0,1)</f>
        <v>0</v>
      </c>
    </row>
    <row r="118" spans="1:11" x14ac:dyDescent="0.75">
      <c r="A118" t="str">
        <f t="shared" si="7"/>
        <v>https://vgmdb.net/album/24622</v>
      </c>
      <c r="B118" t="s">
        <v>219</v>
      </c>
      <c r="C118" t="str">
        <f t="shared" si="6"/>
        <v>TKCA-70410</v>
      </c>
      <c r="D118" t="str">
        <f t="shared" si="8"/>
        <v>https://vgmdb.net/album/24622</v>
      </c>
      <c r="E118">
        <f>COUNTIF($C118:$C$234,C118)-1</f>
        <v>0</v>
      </c>
      <c r="F118" t="s">
        <v>118</v>
      </c>
      <c r="K118">
        <f>IF(ISERROR(MATCH(C118,C$1:C117,0)),0,1)</f>
        <v>0</v>
      </c>
    </row>
    <row r="119" spans="1:11" x14ac:dyDescent="0.75">
      <c r="A119" t="str">
        <f t="shared" si="7"/>
        <v>https://vgmdb.net/album/22807</v>
      </c>
      <c r="B119" t="s">
        <v>219</v>
      </c>
      <c r="C119" t="str">
        <f t="shared" si="6"/>
        <v>TKCA-30596</v>
      </c>
      <c r="D119" t="str">
        <f t="shared" si="8"/>
        <v>https://vgmdb.net/album/22807</v>
      </c>
      <c r="E119">
        <f>COUNTIF($C119:$C$234,C119)-1</f>
        <v>0</v>
      </c>
      <c r="F119" t="s">
        <v>119</v>
      </c>
      <c r="K119">
        <f>IF(ISERROR(MATCH(C119,C$1:C118,0)),0,1)</f>
        <v>0</v>
      </c>
    </row>
    <row r="120" spans="1:11" x14ac:dyDescent="0.75">
      <c r="A120" t="str">
        <f t="shared" si="7"/>
        <v>https://vgmdb.net/album/19554</v>
      </c>
      <c r="B120" t="s">
        <v>219</v>
      </c>
      <c r="C120" t="str">
        <f t="shared" si="6"/>
        <v>TKCA-70946</v>
      </c>
      <c r="D120" t="str">
        <f t="shared" si="8"/>
        <v>https://vgmdb.net/album/19554</v>
      </c>
      <c r="E120">
        <f>COUNTIF($C120:$C$234,C120)-1</f>
        <v>0</v>
      </c>
      <c r="F120" t="s">
        <v>120</v>
      </c>
      <c r="K120">
        <f>IF(ISERROR(MATCH(C120,C$1:C119,0)),0,1)</f>
        <v>0</v>
      </c>
    </row>
    <row r="121" spans="1:11" x14ac:dyDescent="0.75">
      <c r="A121" t="str">
        <f t="shared" si="7"/>
        <v>https://vgmdb.net/album/1189</v>
      </c>
      <c r="B121" t="s">
        <v>219</v>
      </c>
      <c r="C121" t="str">
        <f t="shared" si="6"/>
        <v>COCC-10689</v>
      </c>
      <c r="D121" t="str">
        <f t="shared" si="8"/>
        <v>https://vgmdb.net/album/1189</v>
      </c>
      <c r="E121">
        <f>COUNTIF($C121:$C$234,C121)-1</f>
        <v>0</v>
      </c>
      <c r="F121" t="s">
        <v>121</v>
      </c>
      <c r="K121">
        <f>IF(ISERROR(MATCH(C121,C$1:C120,0)),0,1)</f>
        <v>0</v>
      </c>
    </row>
    <row r="122" spans="1:11" x14ac:dyDescent="0.75">
      <c r="A122" t="str">
        <f t="shared" si="7"/>
        <v>https://vgmdb.net/album/49205</v>
      </c>
      <c r="B122" t="s">
        <v>219</v>
      </c>
      <c r="C122" t="str">
        <f t="shared" si="6"/>
        <v>PCCG-00195</v>
      </c>
      <c r="D122" t="str">
        <f t="shared" si="8"/>
        <v>https://vgmdb.net/album/49205</v>
      </c>
      <c r="E122">
        <f>COUNTIF($C122:$C$234,C122)-1</f>
        <v>0</v>
      </c>
      <c r="F122" t="s">
        <v>122</v>
      </c>
      <c r="K122">
        <f>IF(ISERROR(MATCH(C122,C$1:C121,0)),0,1)</f>
        <v>0</v>
      </c>
    </row>
    <row r="123" spans="1:11" x14ac:dyDescent="0.75">
      <c r="A123" t="str">
        <f t="shared" si="7"/>
        <v>https://vgmdb.net/album/22788</v>
      </c>
      <c r="B123" t="s">
        <v>219</v>
      </c>
      <c r="C123" t="str">
        <f t="shared" si="6"/>
        <v>PCCG-00156</v>
      </c>
      <c r="D123" t="str">
        <f t="shared" si="8"/>
        <v>https://vgmdb.net/album/22788</v>
      </c>
      <c r="E123">
        <f>COUNTIF($C123:$C$234,C123)-1</f>
        <v>0</v>
      </c>
      <c r="F123" t="s">
        <v>123</v>
      </c>
      <c r="K123">
        <f>IF(ISERROR(MATCH(C123,C$1:C122,0)),0,1)</f>
        <v>0</v>
      </c>
    </row>
    <row r="124" spans="1:11" x14ac:dyDescent="0.75">
      <c r="A124" t="str">
        <f t="shared" si="7"/>
        <v>https://vgmdb.net/album/23138</v>
      </c>
      <c r="B124" t="s">
        <v>219</v>
      </c>
      <c r="C124" t="str">
        <f t="shared" si="6"/>
        <v>PCCG-00191</v>
      </c>
      <c r="D124" t="str">
        <f t="shared" si="8"/>
        <v>https://vgmdb.net/album/23138</v>
      </c>
      <c r="E124">
        <f>COUNTIF($C124:$C$234,C124)-1</f>
        <v>0</v>
      </c>
      <c r="F124" t="s">
        <v>124</v>
      </c>
      <c r="K124">
        <f>IF(ISERROR(MATCH(C124,C$1:C123,0)),0,1)</f>
        <v>0</v>
      </c>
    </row>
    <row r="125" spans="1:11" x14ac:dyDescent="0.75">
      <c r="A125" t="str">
        <f t="shared" si="7"/>
        <v>https://vgmdb.net/album/110014</v>
      </c>
      <c r="B125" t="s">
        <v>219</v>
      </c>
      <c r="C125" t="str">
        <f t="shared" ref="C125:C186" si="9">LEFT(F125,FIND(" | ",F125)-1)</f>
        <v>PCCG-00327</v>
      </c>
      <c r="D125" t="str">
        <f t="shared" si="8"/>
        <v>https://vgmdb.net/album/110014</v>
      </c>
      <c r="E125">
        <f>COUNTIF($C125:$C$234,C125)-1</f>
        <v>0</v>
      </c>
      <c r="F125" t="s">
        <v>125</v>
      </c>
      <c r="K125">
        <f>IF(ISERROR(MATCH(C125,C$1:C124,0)),0,1)</f>
        <v>0</v>
      </c>
    </row>
    <row r="126" spans="1:11" x14ac:dyDescent="0.75">
      <c r="A126" t="str">
        <f t="shared" si="7"/>
        <v>https://vgmdb.net/album/25375</v>
      </c>
      <c r="B126" t="s">
        <v>219</v>
      </c>
      <c r="C126" t="str">
        <f t="shared" si="9"/>
        <v>PCCG-00326</v>
      </c>
      <c r="D126" t="str">
        <f t="shared" si="8"/>
        <v>https://vgmdb.net/album/25375</v>
      </c>
      <c r="E126">
        <f>COUNTIF($C126:$C$234,C126)-1</f>
        <v>0</v>
      </c>
      <c r="F126" t="s">
        <v>126</v>
      </c>
      <c r="K126">
        <f>IF(ISERROR(MATCH(C126,C$1:C125,0)),0,1)</f>
        <v>0</v>
      </c>
    </row>
    <row r="127" spans="1:11" x14ac:dyDescent="0.75">
      <c r="A127" t="str">
        <f t="shared" si="7"/>
        <v>https://vgmdb.net/album/86608</v>
      </c>
      <c r="B127" t="s">
        <v>219</v>
      </c>
      <c r="C127" t="str">
        <f t="shared" si="9"/>
        <v>KICS-100</v>
      </c>
      <c r="D127" t="str">
        <f t="shared" si="8"/>
        <v>https://vgmdb.net/album/86608</v>
      </c>
      <c r="E127">
        <f>COUNTIF($C127:$C$234,C127)-1</f>
        <v>0</v>
      </c>
      <c r="F127" t="s">
        <v>127</v>
      </c>
      <c r="K127">
        <f>IF(ISERROR(MATCH(C127,C$1:C126,0)),0,1)</f>
        <v>0</v>
      </c>
    </row>
    <row r="128" spans="1:11" x14ac:dyDescent="0.75">
      <c r="A128" t="str">
        <f t="shared" si="7"/>
        <v>https://vgmdb.net/album/23166</v>
      </c>
      <c r="B128" t="s">
        <v>219</v>
      </c>
      <c r="C128" t="str">
        <f t="shared" si="9"/>
        <v>PCCG-00163</v>
      </c>
      <c r="D128" t="str">
        <f t="shared" si="8"/>
        <v>https://vgmdb.net/album/23166</v>
      </c>
      <c r="E128">
        <f>COUNTIF($C128:$C$234,C128)-1</f>
        <v>0</v>
      </c>
      <c r="F128" t="s">
        <v>128</v>
      </c>
      <c r="K128">
        <f>IF(ISERROR(MATCH(C128,C$1:C127,0)),0,1)</f>
        <v>0</v>
      </c>
    </row>
    <row r="129" spans="1:11" x14ac:dyDescent="0.75">
      <c r="A129" t="str">
        <f t="shared" si="7"/>
        <v>https://vgmdb.net/album/23143</v>
      </c>
      <c r="B129" t="s">
        <v>219</v>
      </c>
      <c r="C129" t="str">
        <f t="shared" si="9"/>
        <v>PCCG-00186</v>
      </c>
      <c r="D129" t="str">
        <f t="shared" si="8"/>
        <v>https://vgmdb.net/album/23143</v>
      </c>
      <c r="E129">
        <f>COUNTIF($C129:$C$234,C129)-1</f>
        <v>0</v>
      </c>
      <c r="F129" t="s">
        <v>129</v>
      </c>
      <c r="K129">
        <f>IF(ISERROR(MATCH(C129,C$1:C128,0)),0,1)</f>
        <v>0</v>
      </c>
    </row>
    <row r="130" spans="1:11" x14ac:dyDescent="0.75">
      <c r="A130" t="str">
        <f t="shared" si="7"/>
        <v>https://vgmdb.net/album/23163</v>
      </c>
      <c r="B130" t="s">
        <v>219</v>
      </c>
      <c r="C130" t="str">
        <f t="shared" si="9"/>
        <v>PCCG-00196</v>
      </c>
      <c r="D130" t="str">
        <f t="shared" si="8"/>
        <v>https://vgmdb.net/album/23163</v>
      </c>
      <c r="E130">
        <f>COUNTIF($C130:$C$234,C130)-1</f>
        <v>0</v>
      </c>
      <c r="F130" t="s">
        <v>130</v>
      </c>
      <c r="K130">
        <f>IF(ISERROR(MATCH(C130,C$1:C129,0)),0,1)</f>
        <v>0</v>
      </c>
    </row>
    <row r="131" spans="1:11" x14ac:dyDescent="0.75">
      <c r="A131" t="str">
        <f t="shared" si="7"/>
        <v>https://vgmdb.net/album/23517</v>
      </c>
      <c r="B131" t="s">
        <v>219</v>
      </c>
      <c r="C131" t="str">
        <f t="shared" si="9"/>
        <v>KACD-3004</v>
      </c>
      <c r="D131" t="str">
        <f t="shared" si="8"/>
        <v>https://vgmdb.net/album/23517</v>
      </c>
      <c r="E131">
        <f>COUNTIF($C131:$C$234,C131)-1</f>
        <v>0</v>
      </c>
      <c r="F131" t="s">
        <v>131</v>
      </c>
      <c r="K131">
        <f>IF(ISERROR(MATCH(C131,C$1:C130,0)),0,1)</f>
        <v>0</v>
      </c>
    </row>
    <row r="132" spans="1:11" x14ac:dyDescent="0.75">
      <c r="A132" t="str">
        <f t="shared" si="7"/>
        <v>https://vgmdb.net/album/23513</v>
      </c>
      <c r="B132" t="s">
        <v>219</v>
      </c>
      <c r="C132" t="str">
        <f t="shared" si="9"/>
        <v>PCCG-00013</v>
      </c>
      <c r="D132" t="str">
        <f t="shared" si="8"/>
        <v>https://vgmdb.net/album/23513</v>
      </c>
      <c r="E132">
        <f>COUNTIF($C132:$C$234,C132)-1</f>
        <v>0</v>
      </c>
      <c r="F132" t="s">
        <v>132</v>
      </c>
      <c r="K132">
        <f>IF(ISERROR(MATCH(C132,C$1:C131,0)),0,1)</f>
        <v>0</v>
      </c>
    </row>
    <row r="133" spans="1:11" x14ac:dyDescent="0.75">
      <c r="A133" t="str">
        <f t="shared" si="7"/>
        <v>https://vgmdb.net/album/23214</v>
      </c>
      <c r="B133" t="s">
        <v>219</v>
      </c>
      <c r="C133" t="str">
        <f t="shared" si="9"/>
        <v>PCCG-00086</v>
      </c>
      <c r="D133" t="str">
        <f t="shared" si="8"/>
        <v>https://vgmdb.net/album/23214</v>
      </c>
      <c r="E133">
        <f>COUNTIF($C133:$C$234,C133)-1</f>
        <v>0</v>
      </c>
      <c r="F133" t="s">
        <v>133</v>
      </c>
      <c r="K133">
        <f>IF(ISERROR(MATCH(C133,C$1:C132,0)),0,1)</f>
        <v>0</v>
      </c>
    </row>
    <row r="134" spans="1:11" x14ac:dyDescent="0.75">
      <c r="A134" t="str">
        <f t="shared" si="7"/>
        <v>https://vgmdb.net/album/140332</v>
      </c>
      <c r="B134" t="s">
        <v>219</v>
      </c>
      <c r="C134" t="str">
        <f t="shared" si="9"/>
        <v>CD-RA04</v>
      </c>
      <c r="D134" t="str">
        <f t="shared" si="8"/>
        <v>https://vgmdb.net/album/140332</v>
      </c>
      <c r="E134">
        <f>COUNTIF($C134:$C$234,C134)-1</f>
        <v>0</v>
      </c>
      <c r="F134" t="s">
        <v>134</v>
      </c>
      <c r="K134">
        <f>IF(ISERROR(MATCH(C134,C$1:C133,0)),0,1)</f>
        <v>0</v>
      </c>
    </row>
    <row r="135" spans="1:11" x14ac:dyDescent="0.75">
      <c r="A135" t="str">
        <f t="shared" si="7"/>
        <v>https://vgmdb.net/album/23332</v>
      </c>
      <c r="B135" t="s">
        <v>219</v>
      </c>
      <c r="C135" t="str">
        <f t="shared" si="9"/>
        <v>D27G-1003</v>
      </c>
      <c r="D135" t="str">
        <f t="shared" si="8"/>
        <v>https://vgmdb.net/album/23332</v>
      </c>
      <c r="E135">
        <f>COUNTIF($C135:$C$234,C135)-1</f>
        <v>0</v>
      </c>
      <c r="F135" t="s">
        <v>135</v>
      </c>
      <c r="K135">
        <f>IF(ISERROR(MATCH(C135,C$1:C134,0)),0,1)</f>
        <v>0</v>
      </c>
    </row>
    <row r="136" spans="1:11" x14ac:dyDescent="0.75">
      <c r="A136" t="str">
        <f t="shared" si="7"/>
        <v>https://vgmdb.net/album/23906</v>
      </c>
      <c r="B136" t="s">
        <v>219</v>
      </c>
      <c r="C136" t="str">
        <f t="shared" si="9"/>
        <v>KTCR-1356</v>
      </c>
      <c r="D136" t="str">
        <f t="shared" si="8"/>
        <v>https://vgmdb.net/album/23906</v>
      </c>
      <c r="E136">
        <f>COUNTIF($C136:$C$234,C136)-1</f>
        <v>0</v>
      </c>
      <c r="F136" t="s">
        <v>136</v>
      </c>
      <c r="K136">
        <f>IF(ISERROR(MATCH(C136,C$1:C135,0)),0,1)</f>
        <v>0</v>
      </c>
    </row>
    <row r="137" spans="1:11" x14ac:dyDescent="0.75">
      <c r="A137" t="str">
        <f t="shared" si="7"/>
        <v>https://vgmdb.net/album/23459</v>
      </c>
      <c r="B137" t="s">
        <v>219</v>
      </c>
      <c r="C137" t="str">
        <f t="shared" si="9"/>
        <v>PCCG-00190</v>
      </c>
      <c r="D137" t="str">
        <f t="shared" si="8"/>
        <v>https://vgmdb.net/album/23459</v>
      </c>
      <c r="E137">
        <f>COUNTIF($C137:$C$234,C137)-1</f>
        <v>0</v>
      </c>
      <c r="F137" t="s">
        <v>137</v>
      </c>
      <c r="K137">
        <f>IF(ISERROR(MATCH(C137,C$1:C136,0)),0,1)</f>
        <v>0</v>
      </c>
    </row>
    <row r="138" spans="1:11" x14ac:dyDescent="0.75">
      <c r="A138" t="str">
        <f t="shared" si="7"/>
        <v>https://vgmdb.net/album/22485</v>
      </c>
      <c r="B138" t="s">
        <v>219</v>
      </c>
      <c r="C138" t="str">
        <f t="shared" si="9"/>
        <v>KTCR-1269</v>
      </c>
      <c r="D138" t="str">
        <f t="shared" si="8"/>
        <v>https://vgmdb.net/album/22485</v>
      </c>
      <c r="E138">
        <f>COUNTIF($C138:$C$234,C138)-1</f>
        <v>0</v>
      </c>
      <c r="F138" t="s">
        <v>138</v>
      </c>
      <c r="K138">
        <f>IF(ISERROR(MATCH(C138,C$1:C137,0)),0,1)</f>
        <v>0</v>
      </c>
    </row>
    <row r="139" spans="1:11" x14ac:dyDescent="0.75">
      <c r="A139" t="str">
        <f t="shared" si="7"/>
        <v>https://vgmdb.net/album/23516</v>
      </c>
      <c r="B139" t="s">
        <v>219</v>
      </c>
      <c r="C139" t="str">
        <f t="shared" si="9"/>
        <v>PCCG-00175</v>
      </c>
      <c r="D139" t="str">
        <f t="shared" si="8"/>
        <v>https://vgmdb.net/album/23516</v>
      </c>
      <c r="E139">
        <f>COUNTIF($C139:$C$234,C139)-1</f>
        <v>0</v>
      </c>
      <c r="F139" t="s">
        <v>139</v>
      </c>
      <c r="K139">
        <f>IF(ISERROR(MATCH(C139,C$1:C138,0)),0,1)</f>
        <v>0</v>
      </c>
    </row>
    <row r="140" spans="1:11" x14ac:dyDescent="0.75">
      <c r="A140" t="str">
        <f t="shared" si="7"/>
        <v>https://vgmdb.net/album/23320</v>
      </c>
      <c r="B140" t="s">
        <v>219</v>
      </c>
      <c r="C140" t="str">
        <f t="shared" si="9"/>
        <v>PCCG-00491</v>
      </c>
      <c r="D140" t="str">
        <f t="shared" si="8"/>
        <v>https://vgmdb.net/album/23320</v>
      </c>
      <c r="E140">
        <f>COUNTIF($C140:$C$234,C140)-1</f>
        <v>0</v>
      </c>
      <c r="F140" t="s">
        <v>140</v>
      </c>
      <c r="K140">
        <f>IF(ISERROR(MATCH(C140,C$1:C139,0)),0,1)</f>
        <v>0</v>
      </c>
    </row>
    <row r="141" spans="1:11" x14ac:dyDescent="0.75">
      <c r="A141" t="str">
        <f t="shared" si="7"/>
        <v>https://vgmdb.net/album/67784</v>
      </c>
      <c r="B141" t="s">
        <v>219</v>
      </c>
      <c r="C141" t="str">
        <f t="shared" si="9"/>
        <v>292A-7012</v>
      </c>
      <c r="D141" t="str">
        <f t="shared" si="8"/>
        <v>https://vgmdb.net/album/67784</v>
      </c>
      <c r="E141">
        <f>COUNTIF($C141:$C$234,C141)-1</f>
        <v>0</v>
      </c>
      <c r="F141" t="s">
        <v>141</v>
      </c>
      <c r="K141">
        <f>IF(ISERROR(MATCH(C141,C$1:C140,0)),0,1)</f>
        <v>0</v>
      </c>
    </row>
    <row r="142" spans="1:11" x14ac:dyDescent="0.75">
      <c r="A142" t="str">
        <f t="shared" si="7"/>
        <v>https://vgmdb.net/album/53033</v>
      </c>
      <c r="B142" t="s">
        <v>219</v>
      </c>
      <c r="C142" t="str">
        <f t="shared" si="9"/>
        <v>292A-7016</v>
      </c>
      <c r="D142" t="str">
        <f t="shared" si="8"/>
        <v>https://vgmdb.net/album/53033</v>
      </c>
      <c r="E142">
        <f>COUNTIF($C142:$C$234,C142)-1</f>
        <v>0</v>
      </c>
      <c r="F142" t="s">
        <v>142</v>
      </c>
      <c r="K142">
        <f>IF(ISERROR(MATCH(C142,C$1:C141,0)),0,1)</f>
        <v>0</v>
      </c>
    </row>
    <row r="143" spans="1:11" x14ac:dyDescent="0.75">
      <c r="A143" t="str">
        <f t="shared" ref="A143:A202" si="10">LEFT(D143,FIND(" (",D143&amp;" ("))</f>
        <v>https://vgmdb.net/album/28537</v>
      </c>
      <c r="B143" t="s">
        <v>219</v>
      </c>
      <c r="C143" t="str">
        <f t="shared" si="9"/>
        <v>FMCC-5056</v>
      </c>
      <c r="D143" t="str">
        <f t="shared" ref="D143:D202" si="11">MID(F143,FIND(" | ",F143)+3,100)</f>
        <v>https://vgmdb.net/album/28537</v>
      </c>
      <c r="E143">
        <f>COUNTIF($C143:$C$234,C143)-1</f>
        <v>0</v>
      </c>
      <c r="F143" t="s">
        <v>144</v>
      </c>
      <c r="K143">
        <f>IF(ISERROR(MATCH(C143,C$1:C142,0)),0,1)</f>
        <v>0</v>
      </c>
    </row>
    <row r="144" spans="1:11" x14ac:dyDescent="0.75">
      <c r="A144" t="str">
        <f t="shared" si="10"/>
        <v>https://vgmdb.net/album/26827</v>
      </c>
      <c r="B144" t="s">
        <v>219</v>
      </c>
      <c r="C144" t="str">
        <f t="shared" si="9"/>
        <v>COCC-11777</v>
      </c>
      <c r="D144" t="str">
        <f t="shared" si="11"/>
        <v>https://vgmdb.net/album/26827</v>
      </c>
      <c r="E144">
        <f>COUNTIF($C144:$C$234,C144)-1</f>
        <v>0</v>
      </c>
      <c r="F144" t="s">
        <v>145</v>
      </c>
      <c r="K144">
        <f>IF(ISERROR(MATCH(C144,C$1:C143,0)),0,1)</f>
        <v>0</v>
      </c>
    </row>
    <row r="145" spans="1:11" x14ac:dyDescent="0.75">
      <c r="A145" t="str">
        <f t="shared" si="10"/>
        <v>https://vgmdb.net/album/26834</v>
      </c>
      <c r="B145" t="s">
        <v>219</v>
      </c>
      <c r="C145" t="str">
        <f t="shared" si="9"/>
        <v>COCC-10059</v>
      </c>
      <c r="D145" t="str">
        <f t="shared" si="11"/>
        <v>https://vgmdb.net/album/26834</v>
      </c>
      <c r="E145">
        <f>COUNTIF($C145:$C$234,C145)-1</f>
        <v>0</v>
      </c>
      <c r="F145" t="s">
        <v>146</v>
      </c>
      <c r="K145">
        <f>IF(ISERROR(MATCH(C145,C$1:C144,0)),0,1)</f>
        <v>0</v>
      </c>
    </row>
    <row r="146" spans="1:11" x14ac:dyDescent="0.75">
      <c r="A146" t="str">
        <f t="shared" si="10"/>
        <v>https://vgmdb.net/album/34393</v>
      </c>
      <c r="B146" t="s">
        <v>219</v>
      </c>
      <c r="C146" t="str">
        <f t="shared" si="9"/>
        <v>COCC-10509</v>
      </c>
      <c r="D146" t="str">
        <f t="shared" si="11"/>
        <v>https://vgmdb.net/album/34393</v>
      </c>
      <c r="E146">
        <f>COUNTIF($C146:$C$234,C146)-1</f>
        <v>0</v>
      </c>
      <c r="F146" t="s">
        <v>147</v>
      </c>
      <c r="K146">
        <f>IF(ISERROR(MATCH(C146,C$1:C145,0)),0,1)</f>
        <v>0</v>
      </c>
    </row>
    <row r="147" spans="1:11" x14ac:dyDescent="0.75">
      <c r="A147" t="str">
        <f t="shared" si="10"/>
        <v>https://vgmdb.net/album/26830</v>
      </c>
      <c r="B147" t="s">
        <v>219</v>
      </c>
      <c r="C147" t="str">
        <f t="shared" si="9"/>
        <v>COCC-10838</v>
      </c>
      <c r="D147" t="str">
        <f t="shared" si="11"/>
        <v>https://vgmdb.net/album/26830</v>
      </c>
      <c r="E147">
        <f>COUNTIF($C147:$C$234,C147)-1</f>
        <v>0</v>
      </c>
      <c r="F147" t="s">
        <v>148</v>
      </c>
      <c r="K147">
        <f>IF(ISERROR(MATCH(C147,C$1:C146,0)),0,1)</f>
        <v>0</v>
      </c>
    </row>
    <row r="148" spans="1:11" x14ac:dyDescent="0.75">
      <c r="A148" t="str">
        <f t="shared" si="10"/>
        <v>https://vgmdb.net/album/71763</v>
      </c>
      <c r="B148" t="s">
        <v>219</v>
      </c>
      <c r="C148" t="str">
        <f t="shared" si="9"/>
        <v>GA-014</v>
      </c>
      <c r="D148" t="str">
        <f t="shared" si="11"/>
        <v>https://vgmdb.net/album/71763</v>
      </c>
      <c r="E148">
        <f>COUNTIF($C148:$C$234,C148)-1</f>
        <v>0</v>
      </c>
      <c r="F148" t="s">
        <v>149</v>
      </c>
      <c r="K148">
        <f>IF(ISERROR(MATCH(C148,C$1:C147,0)),0,1)</f>
        <v>0</v>
      </c>
    </row>
    <row r="149" spans="1:11" x14ac:dyDescent="0.75">
      <c r="A149" t="str">
        <f t="shared" si="10"/>
        <v>https://vgmdb.net/album/57565</v>
      </c>
      <c r="B149" t="s">
        <v>219</v>
      </c>
      <c r="C149" t="str">
        <f t="shared" si="9"/>
        <v>KICA-245</v>
      </c>
      <c r="D149" t="str">
        <f t="shared" si="11"/>
        <v>https://vgmdb.net/album/57565</v>
      </c>
      <c r="E149">
        <f>COUNTIF($C149:$C$234,C149)-1</f>
        <v>0</v>
      </c>
      <c r="F149" t="s">
        <v>150</v>
      </c>
      <c r="K149">
        <f>IF(ISERROR(MATCH(C149,C$1:C148,0)),0,1)</f>
        <v>0</v>
      </c>
    </row>
    <row r="150" spans="1:11" x14ac:dyDescent="0.75">
      <c r="A150" t="str">
        <f t="shared" si="10"/>
        <v>https://vgmdb.net/album/34774</v>
      </c>
      <c r="B150" t="s">
        <v>219</v>
      </c>
      <c r="C150" t="str">
        <f t="shared" si="9"/>
        <v>TOCT-6844</v>
      </c>
      <c r="D150" t="str">
        <f t="shared" si="11"/>
        <v>https://vgmdb.net/album/34774</v>
      </c>
      <c r="E150">
        <f>COUNTIF($C150:$C$234,C150)-1</f>
        <v>0</v>
      </c>
      <c r="F150" t="s">
        <v>151</v>
      </c>
      <c r="K150">
        <f>IF(ISERROR(MATCH(C150,C$1:C149,0)),0,1)</f>
        <v>0</v>
      </c>
    </row>
    <row r="151" spans="1:11" x14ac:dyDescent="0.75">
      <c r="A151" t="str">
        <f t="shared" si="10"/>
        <v>https://vgmdb.net/album/22053</v>
      </c>
      <c r="B151" t="s">
        <v>219</v>
      </c>
      <c r="C151" t="str">
        <f t="shared" si="9"/>
        <v>TYCY-5151</v>
      </c>
      <c r="D151" t="str">
        <f t="shared" si="11"/>
        <v>https://vgmdb.net/album/22053</v>
      </c>
      <c r="E151">
        <f>COUNTIF($C151:$C$234,C151)-1</f>
        <v>0</v>
      </c>
      <c r="F151" t="s">
        <v>152</v>
      </c>
      <c r="K151">
        <f>IF(ISERROR(MATCH(C151,C$1:C150,0)),0,1)</f>
        <v>0</v>
      </c>
    </row>
    <row r="152" spans="1:11" x14ac:dyDescent="0.75">
      <c r="A152" t="str">
        <f t="shared" si="10"/>
        <v>https://vgmdb.net/album/22119</v>
      </c>
      <c r="B152" t="s">
        <v>219</v>
      </c>
      <c r="C152" t="str">
        <f t="shared" si="9"/>
        <v>TYCY-5144</v>
      </c>
      <c r="D152" t="str">
        <f t="shared" si="11"/>
        <v>https://vgmdb.net/album/22119</v>
      </c>
      <c r="E152">
        <f>COUNTIF($C152:$C$234,C152)-1</f>
        <v>0</v>
      </c>
      <c r="F152" t="s">
        <v>153</v>
      </c>
      <c r="K152">
        <f>IF(ISERROR(MATCH(C152,C$1:C151,0)),0,1)</f>
        <v>0</v>
      </c>
    </row>
    <row r="153" spans="1:11" x14ac:dyDescent="0.75">
      <c r="A153" t="str">
        <f t="shared" si="10"/>
        <v>https://vgmdb.net/album/2080</v>
      </c>
      <c r="B153" t="s">
        <v>219</v>
      </c>
      <c r="C153" t="str">
        <f t="shared" si="9"/>
        <v>TKCA-71210</v>
      </c>
      <c r="D153" t="str">
        <f t="shared" si="11"/>
        <v>https://vgmdb.net/album/2080</v>
      </c>
      <c r="E153">
        <f>COUNTIF($C153:$C$234,C153)-1</f>
        <v>0</v>
      </c>
      <c r="F153" t="s">
        <v>154</v>
      </c>
      <c r="K153">
        <f>IF(ISERROR(MATCH(C153,C$1:C152,0)),0,1)</f>
        <v>0</v>
      </c>
    </row>
    <row r="154" spans="1:11" x14ac:dyDescent="0.75">
      <c r="A154" t="str">
        <f t="shared" si="10"/>
        <v>https://vgmdb.net/album/7978</v>
      </c>
      <c r="B154" t="s">
        <v>219</v>
      </c>
      <c r="C154" t="str">
        <f t="shared" si="9"/>
        <v>NACG-1001</v>
      </c>
      <c r="D154" t="str">
        <f t="shared" si="11"/>
        <v>https://vgmdb.net/album/7978</v>
      </c>
      <c r="E154">
        <f>COUNTIF($C154:$C$234,C154)-1</f>
        <v>0</v>
      </c>
      <c r="F154" t="s">
        <v>155</v>
      </c>
      <c r="K154">
        <f>IF(ISERROR(MATCH(C154,C$1:C153,0)),0,1)</f>
        <v>0</v>
      </c>
    </row>
    <row r="155" spans="1:11" x14ac:dyDescent="0.75">
      <c r="A155" t="str">
        <f t="shared" si="10"/>
        <v>https://vgmdb.net/album/59117</v>
      </c>
      <c r="B155" t="s">
        <v>219</v>
      </c>
      <c r="C155" t="str">
        <f t="shared" si="9"/>
        <v>PICA-7002</v>
      </c>
      <c r="D155" t="str">
        <f t="shared" si="11"/>
        <v>https://vgmdb.net/album/59117</v>
      </c>
      <c r="E155">
        <f>COUNTIF($C155:$C$234,C155)-1</f>
        <v>0</v>
      </c>
      <c r="F155" t="s">
        <v>156</v>
      </c>
      <c r="K155">
        <f>IF(ISERROR(MATCH(C155,C$1:C154,0)),0,1)</f>
        <v>0</v>
      </c>
    </row>
    <row r="156" spans="1:11" x14ac:dyDescent="0.75">
      <c r="A156" t="str">
        <f t="shared" si="10"/>
        <v>https://vgmdb.net/album/22042</v>
      </c>
      <c r="B156" t="s">
        <v>219</v>
      </c>
      <c r="C156" t="str">
        <f t="shared" si="9"/>
        <v>5197-2</v>
      </c>
      <c r="D156" t="str">
        <f t="shared" si="11"/>
        <v>https://vgmdb.net/album/22042</v>
      </c>
      <c r="E156">
        <f>COUNTIF($C156:$C$234,C156)-1</f>
        <v>0</v>
      </c>
      <c r="F156" t="s">
        <v>157</v>
      </c>
      <c r="K156">
        <f>IF(ISERROR(MATCH(C156,C$1:C155,0)),0,1)</f>
        <v>0</v>
      </c>
    </row>
    <row r="157" spans="1:11" x14ac:dyDescent="0.75">
      <c r="A157" t="str">
        <f t="shared" si="10"/>
        <v>https://vgmdb.net/album/48415</v>
      </c>
      <c r="B157" t="s">
        <v>219</v>
      </c>
      <c r="C157" t="str">
        <f t="shared" si="9"/>
        <v>KICA-144</v>
      </c>
      <c r="D157" t="str">
        <f t="shared" si="11"/>
        <v>https://vgmdb.net/album/48415</v>
      </c>
      <c r="E157">
        <f>COUNTIF($C157:$C$234,C157)-1</f>
        <v>0</v>
      </c>
      <c r="F157" t="s">
        <v>158</v>
      </c>
      <c r="K157">
        <f>IF(ISERROR(MATCH(C157,C$1:C156,0)),0,1)</f>
        <v>0</v>
      </c>
    </row>
    <row r="158" spans="1:11" x14ac:dyDescent="0.75">
      <c r="A158" t="str">
        <f t="shared" si="10"/>
        <v>https://vgmdb.net/album/83779</v>
      </c>
      <c r="B158" t="s">
        <v>219</v>
      </c>
      <c r="C158" t="str">
        <f t="shared" si="9"/>
        <v>KICA-174</v>
      </c>
      <c r="D158" t="str">
        <f t="shared" si="11"/>
        <v>https://vgmdb.net/album/83779</v>
      </c>
      <c r="E158">
        <f>COUNTIF($C158:$C$234,C158)-1</f>
        <v>0</v>
      </c>
      <c r="F158" t="s">
        <v>159</v>
      </c>
      <c r="K158">
        <f>IF(ISERROR(MATCH(C158,C$1:C157,0)),0,1)</f>
        <v>0</v>
      </c>
    </row>
    <row r="159" spans="1:11" x14ac:dyDescent="0.75">
      <c r="A159" t="str">
        <f t="shared" si="10"/>
        <v>https://vgmdb.net/album/91977</v>
      </c>
      <c r="B159" t="s">
        <v>219</v>
      </c>
      <c r="C159" t="str">
        <f t="shared" si="9"/>
        <v>SXCR-607</v>
      </c>
      <c r="D159" t="str">
        <f t="shared" si="11"/>
        <v>https://vgmdb.net/album/91977</v>
      </c>
      <c r="E159">
        <f>COUNTIF($C159:$C$234,C159)-1</f>
        <v>0</v>
      </c>
      <c r="F159" t="s">
        <v>160</v>
      </c>
      <c r="K159">
        <f>IF(ISERROR(MATCH(C159,C$1:C158,0)),0,1)</f>
        <v>0</v>
      </c>
    </row>
    <row r="160" spans="1:11" x14ac:dyDescent="0.75">
      <c r="A160" t="str">
        <f t="shared" si="10"/>
        <v>https://vgmdb.net/album/41617</v>
      </c>
      <c r="B160" t="s">
        <v>219</v>
      </c>
      <c r="C160" t="str">
        <f t="shared" si="9"/>
        <v>VICL-304</v>
      </c>
      <c r="D160" t="str">
        <f t="shared" si="11"/>
        <v>https://vgmdb.net/album/41617</v>
      </c>
      <c r="E160">
        <f>COUNTIF($C160:$C$234,C160)-1</f>
        <v>0</v>
      </c>
      <c r="F160" t="s">
        <v>161</v>
      </c>
      <c r="K160">
        <f>IF(ISERROR(MATCH(C160,C$1:C159,0)),0,1)</f>
        <v>0</v>
      </c>
    </row>
    <row r="161" spans="1:11" x14ac:dyDescent="0.75">
      <c r="A161" t="str">
        <f t="shared" si="10"/>
        <v>https://vgmdb.net/album/36150</v>
      </c>
      <c r="B161" t="s">
        <v>219</v>
      </c>
      <c r="C161" t="str">
        <f t="shared" si="9"/>
        <v>KTCR-1084</v>
      </c>
      <c r="D161" t="str">
        <f t="shared" si="11"/>
        <v>https://vgmdb.net/album/36150</v>
      </c>
      <c r="E161">
        <f>COUNTIF($C161:$C$234,C161)-1</f>
        <v>0</v>
      </c>
      <c r="F161" t="s">
        <v>162</v>
      </c>
      <c r="K161">
        <f>IF(ISERROR(MATCH(C161,C$1:C160,0)),0,1)</f>
        <v>0</v>
      </c>
    </row>
    <row r="162" spans="1:11" x14ac:dyDescent="0.75">
      <c r="A162" t="str">
        <f t="shared" si="10"/>
        <v>https://vgmdb.net/album/39775</v>
      </c>
      <c r="B162" t="s">
        <v>219</v>
      </c>
      <c r="C162" t="str">
        <f t="shared" si="9"/>
        <v>AYCM-612</v>
      </c>
      <c r="D162" t="str">
        <f t="shared" si="11"/>
        <v>https://vgmdb.net/album/39775</v>
      </c>
      <c r="E162">
        <f>COUNTIF($C162:$C$234,C162)-1</f>
        <v>0</v>
      </c>
      <c r="F162" t="s">
        <v>163</v>
      </c>
      <c r="K162">
        <f>IF(ISERROR(MATCH(C162,C$1:C161,0)),0,1)</f>
        <v>0</v>
      </c>
    </row>
    <row r="163" spans="1:11" x14ac:dyDescent="0.75">
      <c r="A163" t="str">
        <f t="shared" si="10"/>
        <v>https://vgmdb.net/album/47324</v>
      </c>
      <c r="B163" t="s">
        <v>219</v>
      </c>
      <c r="C163" t="str">
        <f t="shared" si="9"/>
        <v>KICA-265</v>
      </c>
      <c r="D163" t="str">
        <f t="shared" si="11"/>
        <v>https://vgmdb.net/album/47324</v>
      </c>
      <c r="E163">
        <f>COUNTIF($C163:$C$234,C163)-1</f>
        <v>0</v>
      </c>
      <c r="F163" t="s">
        <v>164</v>
      </c>
      <c r="K163">
        <f>IF(ISERROR(MATCH(C163,C$1:C162,0)),0,1)</f>
        <v>0</v>
      </c>
    </row>
    <row r="164" spans="1:11" x14ac:dyDescent="0.75">
      <c r="A164" t="str">
        <f t="shared" si="10"/>
        <v>https://vgmdb.net/album/48487</v>
      </c>
      <c r="B164" t="s">
        <v>219</v>
      </c>
      <c r="C164" t="str">
        <f t="shared" si="9"/>
        <v>KICA-318</v>
      </c>
      <c r="D164" t="str">
        <f t="shared" si="11"/>
        <v>https://vgmdb.net/album/48487</v>
      </c>
      <c r="E164">
        <f>COUNTIF($C164:$C$234,C164)-1</f>
        <v>0</v>
      </c>
      <c r="F164" t="s">
        <v>165</v>
      </c>
      <c r="K164">
        <f>IF(ISERROR(MATCH(C164,C$1:C163,0)),0,1)</f>
        <v>0</v>
      </c>
    </row>
    <row r="165" spans="1:11" x14ac:dyDescent="0.75">
      <c r="A165" t="str">
        <f t="shared" si="10"/>
        <v>https://vgmdb.net/album/48144</v>
      </c>
      <c r="B165" t="s">
        <v>219</v>
      </c>
      <c r="C165" t="str">
        <f t="shared" si="9"/>
        <v>KICA-380</v>
      </c>
      <c r="D165" t="str">
        <f t="shared" si="11"/>
        <v>https://vgmdb.net/album/48144</v>
      </c>
      <c r="E165">
        <f>COUNTIF($C165:$C$234,C165)-1</f>
        <v>0</v>
      </c>
      <c r="F165" t="s">
        <v>166</v>
      </c>
      <c r="K165">
        <f>IF(ISERROR(MATCH(C165,C$1:C164,0)),0,1)</f>
        <v>0</v>
      </c>
    </row>
    <row r="166" spans="1:11" x14ac:dyDescent="0.75">
      <c r="A166" t="str">
        <f t="shared" si="10"/>
        <v>https://vgmdb.net/album/44505</v>
      </c>
      <c r="B166" t="s">
        <v>219</v>
      </c>
      <c r="C166" t="str">
        <f t="shared" si="9"/>
        <v>EPCE-5047</v>
      </c>
      <c r="D166" t="str">
        <f t="shared" si="11"/>
        <v>https://vgmdb.net/album/44505</v>
      </c>
      <c r="E166">
        <f>COUNTIF($C166:$C$234,C166)-1</f>
        <v>0</v>
      </c>
      <c r="F166" t="s">
        <v>167</v>
      </c>
      <c r="K166">
        <f>IF(ISERROR(MATCH(C166,C$1:C165,0)),0,1)</f>
        <v>0</v>
      </c>
    </row>
    <row r="167" spans="1:11" x14ac:dyDescent="0.75">
      <c r="A167" t="str">
        <f t="shared" si="10"/>
        <v>https://vgmdb.net/album/25456</v>
      </c>
      <c r="B167" t="s">
        <v>219</v>
      </c>
      <c r="C167" t="str">
        <f t="shared" si="9"/>
        <v>TKCA-72166</v>
      </c>
      <c r="D167" t="str">
        <f t="shared" si="11"/>
        <v>https://vgmdb.net/album/25456</v>
      </c>
      <c r="E167">
        <f>COUNTIF($C167:$C$234,C167)-1</f>
        <v>0</v>
      </c>
      <c r="F167" t="s">
        <v>168</v>
      </c>
      <c r="K167">
        <f>IF(ISERROR(MATCH(C167,C$1:C166,0)),0,1)</f>
        <v>0</v>
      </c>
    </row>
    <row r="168" spans="1:11" x14ac:dyDescent="0.75">
      <c r="A168" t="str">
        <f t="shared" si="10"/>
        <v>https://vgmdb.net/album/23526</v>
      </c>
      <c r="B168" t="s">
        <v>219</v>
      </c>
      <c r="C168" t="str">
        <f t="shared" si="9"/>
        <v>KICA-469</v>
      </c>
      <c r="D168" t="str">
        <f t="shared" si="11"/>
        <v>https://vgmdb.net/album/23526</v>
      </c>
      <c r="E168">
        <f>COUNTIF($C168:$C$234,C168)-1</f>
        <v>0</v>
      </c>
      <c r="F168" t="s">
        <v>169</v>
      </c>
      <c r="K168">
        <f>IF(ISERROR(MATCH(C168,C$1:C167,0)),0,1)</f>
        <v>0</v>
      </c>
    </row>
    <row r="169" spans="1:11" x14ac:dyDescent="0.75">
      <c r="A169" t="str">
        <f t="shared" si="10"/>
        <v>https://vgmdb.net/album/23528</v>
      </c>
      <c r="B169" t="s">
        <v>219</v>
      </c>
      <c r="C169" t="str">
        <f t="shared" si="9"/>
        <v>KICA-474</v>
      </c>
      <c r="D169" t="str">
        <f t="shared" si="11"/>
        <v>https://vgmdb.net/album/23528</v>
      </c>
      <c r="E169">
        <f>COUNTIF($C169:$C$234,C169)-1</f>
        <v>0</v>
      </c>
      <c r="F169" t="s">
        <v>170</v>
      </c>
      <c r="K169">
        <f>IF(ISERROR(MATCH(C169,C$1:C168,0)),0,1)</f>
        <v>0</v>
      </c>
    </row>
    <row r="170" spans="1:11" x14ac:dyDescent="0.75">
      <c r="A170" t="str">
        <f t="shared" si="10"/>
        <v>https://vgmdb.net/album/23529</v>
      </c>
      <c r="B170" t="s">
        <v>219</v>
      </c>
      <c r="C170" t="str">
        <f t="shared" si="9"/>
        <v>KICA-478</v>
      </c>
      <c r="D170" t="str">
        <f t="shared" si="11"/>
        <v>https://vgmdb.net/album/23529</v>
      </c>
      <c r="E170">
        <f>COUNTIF($C170:$C$234,C170)-1</f>
        <v>0</v>
      </c>
      <c r="F170" t="s">
        <v>171</v>
      </c>
      <c r="K170">
        <f>IF(ISERROR(MATCH(C170,C$1:C169,0)),0,1)</f>
        <v>0</v>
      </c>
    </row>
    <row r="171" spans="1:11" x14ac:dyDescent="0.75">
      <c r="A171" t="str">
        <f t="shared" si="10"/>
        <v>https://vgmdb.net/album/142978</v>
      </c>
      <c r="B171" t="s">
        <v>219</v>
      </c>
      <c r="C171" t="str">
        <f t="shared" si="9"/>
        <v>32ATC-135</v>
      </c>
      <c r="D171" t="str">
        <f t="shared" si="11"/>
        <v>https://vgmdb.net/album/142978</v>
      </c>
      <c r="E171">
        <f>COUNTIF($C171:$C$234,C171)-1</f>
        <v>0</v>
      </c>
      <c r="F171" t="s">
        <v>172</v>
      </c>
      <c r="K171">
        <f>IF(ISERROR(MATCH(C171,C$1:C170,0)),0,1)</f>
        <v>0</v>
      </c>
    </row>
    <row r="172" spans="1:11" x14ac:dyDescent="0.75">
      <c r="A172" t="str">
        <f t="shared" si="10"/>
        <v>https://vgmdb.net/album/24112</v>
      </c>
      <c r="B172" t="s">
        <v>219</v>
      </c>
      <c r="C172" t="str">
        <f t="shared" si="9"/>
        <v>COCX-32271</v>
      </c>
      <c r="D172" t="str">
        <f t="shared" si="11"/>
        <v>https://vgmdb.net/album/24112</v>
      </c>
      <c r="E172">
        <f>COUNTIF($C172:$C$234,C172)-1</f>
        <v>0</v>
      </c>
      <c r="F172" t="s">
        <v>173</v>
      </c>
      <c r="K172">
        <f>IF(ISERROR(MATCH(C172,C$1:C171,0)),0,1)</f>
        <v>0</v>
      </c>
    </row>
    <row r="173" spans="1:11" x14ac:dyDescent="0.75">
      <c r="A173" t="str">
        <f t="shared" si="10"/>
        <v>https://vgmdb.net/album/67193</v>
      </c>
      <c r="B173" t="s">
        <v>219</v>
      </c>
      <c r="C173" t="str">
        <f t="shared" si="9"/>
        <v>LACA-5066</v>
      </c>
      <c r="D173" t="str">
        <f t="shared" si="11"/>
        <v>https://vgmdb.net/album/67193</v>
      </c>
      <c r="E173">
        <f>COUNTIF($C173:$C$234,C173)-1</f>
        <v>0</v>
      </c>
      <c r="F173" t="s">
        <v>174</v>
      </c>
      <c r="K173">
        <f>IF(ISERROR(MATCH(C173,C$1:C172,0)),0,1)</f>
        <v>0</v>
      </c>
    </row>
    <row r="174" spans="1:11" x14ac:dyDescent="0.75">
      <c r="A174" t="str">
        <f t="shared" si="10"/>
        <v>https://vgmdb.net/album/58888</v>
      </c>
      <c r="B174" t="s">
        <v>219</v>
      </c>
      <c r="C174" t="str">
        <f t="shared" si="9"/>
        <v>PICA-1134</v>
      </c>
      <c r="D174" t="str">
        <f t="shared" si="11"/>
        <v>https://vgmdb.net/album/58888</v>
      </c>
      <c r="E174">
        <f>COUNTIF($C174:$C$234,C174)-1</f>
        <v>0</v>
      </c>
      <c r="F174" t="s">
        <v>175</v>
      </c>
      <c r="K174">
        <f>IF(ISERROR(MATCH(C174,C$1:C173,0)),0,1)</f>
        <v>0</v>
      </c>
    </row>
    <row r="175" spans="1:11" x14ac:dyDescent="0.75">
      <c r="A175" t="str">
        <f t="shared" si="10"/>
        <v>https://vgmdb.net/album/24850</v>
      </c>
      <c r="B175" t="s">
        <v>219</v>
      </c>
      <c r="C175" t="str">
        <f t="shared" si="9"/>
        <v>PICA-1097</v>
      </c>
      <c r="D175" t="str">
        <f t="shared" si="11"/>
        <v>https://vgmdb.net/album/24850</v>
      </c>
      <c r="E175">
        <f>COUNTIF($C175:$C$234,C175)-1</f>
        <v>0</v>
      </c>
      <c r="F175" t="s">
        <v>176</v>
      </c>
      <c r="K175">
        <f>IF(ISERROR(MATCH(C175,C$1:C174,0)),0,1)</f>
        <v>0</v>
      </c>
    </row>
    <row r="176" spans="1:11" x14ac:dyDescent="0.75">
      <c r="A176" t="str">
        <f t="shared" si="10"/>
        <v>https://vgmdb.net/album/46876</v>
      </c>
      <c r="B176" t="s">
        <v>219</v>
      </c>
      <c r="C176" t="str">
        <f t="shared" si="9"/>
        <v>PICA-1018</v>
      </c>
      <c r="D176" t="str">
        <f t="shared" si="11"/>
        <v>https://vgmdb.net/album/46876</v>
      </c>
      <c r="E176">
        <f>COUNTIF($C176:$C$234,C176)-1</f>
        <v>0</v>
      </c>
      <c r="F176" t="s">
        <v>177</v>
      </c>
      <c r="K176">
        <f>IF(ISERROR(MATCH(C176,C$1:C175,0)),0,1)</f>
        <v>0</v>
      </c>
    </row>
    <row r="177" spans="1:11" x14ac:dyDescent="0.75">
      <c r="A177" t="str">
        <f t="shared" si="10"/>
        <v>https://vgmdb.net/album/37870</v>
      </c>
      <c r="B177" t="s">
        <v>219</v>
      </c>
      <c r="C177" t="str">
        <f t="shared" si="9"/>
        <v>PICA-1043</v>
      </c>
      <c r="D177" t="str">
        <f t="shared" si="11"/>
        <v>https://vgmdb.net/album/37870</v>
      </c>
      <c r="E177">
        <f>COUNTIF($C177:$C$234,C177)-1</f>
        <v>0</v>
      </c>
      <c r="F177" t="s">
        <v>178</v>
      </c>
      <c r="K177">
        <f>IF(ISERROR(MATCH(C177,C$1:C176,0)),0,1)</f>
        <v>0</v>
      </c>
    </row>
    <row r="178" spans="1:11" x14ac:dyDescent="0.75">
      <c r="A178" t="str">
        <f t="shared" si="10"/>
        <v>https://vgmdb.net/album/28593</v>
      </c>
      <c r="B178" t="s">
        <v>219</v>
      </c>
      <c r="C178" t="str">
        <f t="shared" si="9"/>
        <v>TKCA-72367</v>
      </c>
      <c r="D178" t="str">
        <f t="shared" si="11"/>
        <v>https://vgmdb.net/album/28593</v>
      </c>
      <c r="E178">
        <f>COUNTIF($C178:$C$234,C178)-1</f>
        <v>0</v>
      </c>
      <c r="F178" t="s">
        <v>179</v>
      </c>
      <c r="K178">
        <f>IF(ISERROR(MATCH(C178,C$1:C177,0)),0,1)</f>
        <v>0</v>
      </c>
    </row>
    <row r="179" spans="1:11" x14ac:dyDescent="0.75">
      <c r="A179" t="str">
        <f t="shared" si="10"/>
        <v xml:space="preserve">https://vgmdb.net/album/26081 </v>
      </c>
      <c r="B179" t="s">
        <v>219</v>
      </c>
      <c r="C179" t="str">
        <f t="shared" si="9"/>
        <v>PCCG-00106</v>
      </c>
      <c r="D179" t="str">
        <f t="shared" si="11"/>
        <v xml:space="preserve">https://vgmdb.net/album/26081 </v>
      </c>
      <c r="E179">
        <f>COUNTIF($C179:$C$234,C179)-1</f>
        <v>0</v>
      </c>
      <c r="F179" t="s">
        <v>180</v>
      </c>
      <c r="K179">
        <f>IF(ISERROR(MATCH(C179,C$1:C178,0)),0,1)</f>
        <v>0</v>
      </c>
    </row>
    <row r="180" spans="1:11" x14ac:dyDescent="0.75">
      <c r="A180" t="str">
        <f t="shared" si="10"/>
        <v>https://vgmdb.net/album/4796</v>
      </c>
      <c r="B180" t="s">
        <v>219</v>
      </c>
      <c r="C180" t="str">
        <f t="shared" si="9"/>
        <v>KICA-7710</v>
      </c>
      <c r="D180" t="str">
        <f t="shared" si="11"/>
        <v>https://vgmdb.net/album/4796</v>
      </c>
      <c r="E180">
        <f>COUNTIF($C180:$C$234,C180)-1</f>
        <v>0</v>
      </c>
      <c r="F180" t="s">
        <v>181</v>
      </c>
      <c r="K180">
        <f>IF(ISERROR(MATCH(C180,C$1:C179,0)),0,1)</f>
        <v>0</v>
      </c>
    </row>
    <row r="181" spans="1:11" x14ac:dyDescent="0.75">
      <c r="A181" t="str">
        <f t="shared" si="10"/>
        <v>https://vgmdb.net/album/2017</v>
      </c>
      <c r="B181" t="s">
        <v>219</v>
      </c>
      <c r="C181" t="str">
        <f t="shared" si="9"/>
        <v>KICA-7639</v>
      </c>
      <c r="D181" t="str">
        <f t="shared" si="11"/>
        <v>https://vgmdb.net/album/2017</v>
      </c>
      <c r="E181">
        <f>COUNTIF($C181:$C$234,C181)-1</f>
        <v>0</v>
      </c>
      <c r="F181" t="s">
        <v>182</v>
      </c>
      <c r="K181">
        <f>IF(ISERROR(MATCH(C181,C$1:C180,0)),0,1)</f>
        <v>0</v>
      </c>
    </row>
    <row r="182" spans="1:11" x14ac:dyDescent="0.75">
      <c r="A182" t="str">
        <f t="shared" si="10"/>
        <v>https://vgmdb.net/album/15272</v>
      </c>
      <c r="B182" t="s">
        <v>219</v>
      </c>
      <c r="C182" t="str">
        <f t="shared" si="9"/>
        <v>COCC-11170</v>
      </c>
      <c r="D182" t="str">
        <f t="shared" si="11"/>
        <v>https://vgmdb.net/album/15272</v>
      </c>
      <c r="E182">
        <f>COUNTIF($C182:$C$234,C182)-1</f>
        <v>0</v>
      </c>
      <c r="F182" t="s">
        <v>183</v>
      </c>
      <c r="K182">
        <f>IF(ISERROR(MATCH(C182,C$1:C181,0)),0,1)</f>
        <v>0</v>
      </c>
    </row>
    <row r="183" spans="1:11" x14ac:dyDescent="0.75">
      <c r="A183" t="str">
        <f t="shared" si="10"/>
        <v>https://vgmdb.net/album/40527</v>
      </c>
      <c r="B183" t="s">
        <v>219</v>
      </c>
      <c r="C183" t="str">
        <f t="shared" si="9"/>
        <v>COCC-11065</v>
      </c>
      <c r="D183" t="str">
        <f t="shared" si="11"/>
        <v>https://vgmdb.net/album/40527</v>
      </c>
      <c r="E183">
        <f>COUNTIF($C183:$C$234,C183)-1</f>
        <v>0</v>
      </c>
      <c r="F183" t="s">
        <v>184</v>
      </c>
      <c r="K183">
        <f>IF(ISERROR(MATCH(C183,C$1:C182,0)),0,1)</f>
        <v>0</v>
      </c>
    </row>
    <row r="184" spans="1:11" x14ac:dyDescent="0.75">
      <c r="A184" t="str">
        <f t="shared" si="10"/>
        <v>https://vgmdb.net/album/28603</v>
      </c>
      <c r="B184" t="s">
        <v>219</v>
      </c>
      <c r="C184" t="str">
        <f t="shared" si="9"/>
        <v>D32G-0031</v>
      </c>
      <c r="D184" t="str">
        <f t="shared" si="11"/>
        <v>https://vgmdb.net/album/28603</v>
      </c>
      <c r="E184">
        <f>COUNTIF($C184:$C$234,C184)-1</f>
        <v>0</v>
      </c>
      <c r="F184" t="s">
        <v>185</v>
      </c>
      <c r="K184">
        <f>IF(ISERROR(MATCH(C184,C$1:C183,0)),0,1)</f>
        <v>0</v>
      </c>
    </row>
    <row r="185" spans="1:11" x14ac:dyDescent="0.75">
      <c r="A185" t="str">
        <f t="shared" si="10"/>
        <v>https://vgmdb.net/album/59990</v>
      </c>
      <c r="B185" t="s">
        <v>219</v>
      </c>
      <c r="C185" t="str">
        <f t="shared" si="9"/>
        <v>COCC-11078</v>
      </c>
      <c r="D185" t="str">
        <f t="shared" si="11"/>
        <v>https://vgmdb.net/album/59990</v>
      </c>
      <c r="E185">
        <f>COUNTIF($C185:$C$234,C185)-1</f>
        <v>0</v>
      </c>
      <c r="F185" t="s">
        <v>186</v>
      </c>
      <c r="K185">
        <f>IF(ISERROR(MATCH(C185,C$1:C184,0)),0,1)</f>
        <v>0</v>
      </c>
    </row>
    <row r="186" spans="1:11" x14ac:dyDescent="0.75">
      <c r="A186" t="str">
        <f t="shared" si="10"/>
        <v>https://vgmdb.net/album/100502</v>
      </c>
      <c r="B186" t="s">
        <v>219</v>
      </c>
      <c r="C186" t="str">
        <f t="shared" si="9"/>
        <v>H33K-20063</v>
      </c>
      <c r="D186" t="str">
        <f t="shared" si="11"/>
        <v>https://vgmdb.net/album/100502</v>
      </c>
      <c r="E186">
        <f>COUNTIF($C186:$C$234,C186)-1</f>
        <v>0</v>
      </c>
      <c r="F186" t="s">
        <v>187</v>
      </c>
      <c r="K186">
        <f>IF(ISERROR(MATCH(C186,C$1:C185,0)),0,1)</f>
        <v>0</v>
      </c>
    </row>
    <row r="187" spans="1:11" x14ac:dyDescent="0.75">
      <c r="A187" t="str">
        <f t="shared" si="10"/>
        <v>https://vgmdb.net/album/78537</v>
      </c>
      <c r="B187" t="s">
        <v>219</v>
      </c>
      <c r="C187" t="str">
        <f t="shared" ref="C187:C219" si="12">LEFT(F187,FIND(" | ",F187)-1)</f>
        <v>H33K-20005</v>
      </c>
      <c r="D187" t="str">
        <f t="shared" si="11"/>
        <v>https://vgmdb.net/album/78537</v>
      </c>
      <c r="E187">
        <f>COUNTIF($C187:$C$234,C187)-1</f>
        <v>0</v>
      </c>
      <c r="F187" t="s">
        <v>188</v>
      </c>
      <c r="K187">
        <f>IF(ISERROR(MATCH(C187,C$1:C186,0)),0,1)</f>
        <v>0</v>
      </c>
    </row>
    <row r="188" spans="1:11" x14ac:dyDescent="0.75">
      <c r="A188" t="str">
        <f t="shared" si="10"/>
        <v>https://vgmdb.net/album/57606</v>
      </c>
      <c r="B188" t="s">
        <v>219</v>
      </c>
      <c r="C188" t="str">
        <f t="shared" si="12"/>
        <v>KTCR-1297</v>
      </c>
      <c r="D188" t="str">
        <f t="shared" si="11"/>
        <v>https://vgmdb.net/album/57606</v>
      </c>
      <c r="E188">
        <f>COUNTIF($C188:$C$234,C188)-1</f>
        <v>0</v>
      </c>
      <c r="F188" t="s">
        <v>189</v>
      </c>
      <c r="K188">
        <f>IF(ISERROR(MATCH(C188,C$1:C187,0)),0,1)</f>
        <v>0</v>
      </c>
    </row>
    <row r="189" spans="1:11" x14ac:dyDescent="0.75">
      <c r="A189" t="str">
        <f t="shared" si="10"/>
        <v>https://vgmdb.net/album/80296</v>
      </c>
      <c r="B189" t="s">
        <v>219</v>
      </c>
      <c r="C189" t="str">
        <f t="shared" si="12"/>
        <v>KTCR-1246</v>
      </c>
      <c r="D189" t="str">
        <f t="shared" si="11"/>
        <v>https://vgmdb.net/album/80296</v>
      </c>
      <c r="E189">
        <f>COUNTIF($C189:$C$234,C189)-1</f>
        <v>0</v>
      </c>
      <c r="F189" t="s">
        <v>190</v>
      </c>
      <c r="K189">
        <f>IF(ISERROR(MATCH(C189,C$1:C188,0)),0,1)</f>
        <v>0</v>
      </c>
    </row>
    <row r="190" spans="1:11" x14ac:dyDescent="0.75">
      <c r="A190" t="str">
        <f t="shared" si="10"/>
        <v>https://vgmdb.net/album/66426</v>
      </c>
      <c r="B190" t="s">
        <v>219</v>
      </c>
      <c r="C190" t="str">
        <f t="shared" si="12"/>
        <v>PCCG-00147</v>
      </c>
      <c r="D190" t="str">
        <f t="shared" si="11"/>
        <v>https://vgmdb.net/album/66426</v>
      </c>
      <c r="E190">
        <f>COUNTIF($C190:$C$234,C190)-1</f>
        <v>0</v>
      </c>
      <c r="F190" t="s">
        <v>191</v>
      </c>
      <c r="K190">
        <f>IF(ISERROR(MATCH(C190,C$1:C189,0)),0,1)</f>
        <v>0</v>
      </c>
    </row>
    <row r="191" spans="1:11" x14ac:dyDescent="0.75">
      <c r="A191" t="str">
        <f t="shared" si="10"/>
        <v>https://vgmdb.net/album/51376</v>
      </c>
      <c r="B191" t="s">
        <v>219</v>
      </c>
      <c r="C191" t="str">
        <f t="shared" si="12"/>
        <v>PCCG-00146</v>
      </c>
      <c r="D191" t="str">
        <f t="shared" si="11"/>
        <v>https://vgmdb.net/album/51376</v>
      </c>
      <c r="E191">
        <f>COUNTIF($C191:$C$234,C191)-1</f>
        <v>0</v>
      </c>
      <c r="F191" t="s">
        <v>192</v>
      </c>
      <c r="K191">
        <f>IF(ISERROR(MATCH(C191,C$1:C190,0)),0,1)</f>
        <v>0</v>
      </c>
    </row>
    <row r="192" spans="1:11" x14ac:dyDescent="0.75">
      <c r="A192" t="str">
        <f t="shared" si="10"/>
        <v>https://vgmdb.net/album/67401</v>
      </c>
      <c r="B192" t="s">
        <v>219</v>
      </c>
      <c r="C192" t="str">
        <f t="shared" si="12"/>
        <v>KTCR-1088</v>
      </c>
      <c r="D192" t="str">
        <f t="shared" si="11"/>
        <v>https://vgmdb.net/album/67401</v>
      </c>
      <c r="E192">
        <f>COUNTIF($C192:$C$234,C192)-1</f>
        <v>0</v>
      </c>
      <c r="F192" t="s">
        <v>194</v>
      </c>
      <c r="K192">
        <f>IF(ISERROR(MATCH(C192,C$1:C191,0)),0,1)</f>
        <v>0</v>
      </c>
    </row>
    <row r="193" spans="1:11" x14ac:dyDescent="0.75">
      <c r="A193" t="str">
        <f t="shared" si="10"/>
        <v>https://vgmdb.net/album/67006</v>
      </c>
      <c r="B193" t="s">
        <v>219</v>
      </c>
      <c r="C193" t="str">
        <f t="shared" si="12"/>
        <v>H33K-20029</v>
      </c>
      <c r="D193" t="str">
        <f t="shared" si="11"/>
        <v>https://vgmdb.net/album/67006</v>
      </c>
      <c r="E193">
        <f>COUNTIF($C193:$C$234,C193)-1</f>
        <v>0</v>
      </c>
      <c r="F193" t="s">
        <v>195</v>
      </c>
      <c r="K193">
        <f>IF(ISERROR(MATCH(C193,C$1:C192,0)),0,1)</f>
        <v>0</v>
      </c>
    </row>
    <row r="194" spans="1:11" x14ac:dyDescent="0.75">
      <c r="A194" t="str">
        <f t="shared" si="10"/>
        <v>https://vgmdb.net/album/66557</v>
      </c>
      <c r="B194" t="s">
        <v>219</v>
      </c>
      <c r="C194" t="str">
        <f t="shared" si="12"/>
        <v>KTCR-1089</v>
      </c>
      <c r="D194" t="str">
        <f t="shared" si="11"/>
        <v>https://vgmdb.net/album/66557</v>
      </c>
      <c r="E194">
        <f>COUNTIF($C194:$C$234,C194)-1</f>
        <v>0</v>
      </c>
      <c r="F194" t="s">
        <v>196</v>
      </c>
      <c r="K194">
        <f>IF(ISERROR(MATCH(C194,C$1:C193,0)),0,1)</f>
        <v>0</v>
      </c>
    </row>
    <row r="195" spans="1:11" x14ac:dyDescent="0.75">
      <c r="A195" t="str">
        <f t="shared" si="10"/>
        <v>https://vgmdb.net/album/66433</v>
      </c>
      <c r="B195" t="s">
        <v>219</v>
      </c>
      <c r="C195" t="str">
        <f t="shared" si="12"/>
        <v>KTCR-1087</v>
      </c>
      <c r="D195" t="str">
        <f t="shared" si="11"/>
        <v>https://vgmdb.net/album/66433</v>
      </c>
      <c r="E195">
        <f>COUNTIF($C195:$C$234,C195)-1</f>
        <v>0</v>
      </c>
      <c r="F195" t="s">
        <v>197</v>
      </c>
      <c r="K195">
        <f>IF(ISERROR(MATCH(C195,C$1:C194,0)),0,1)</f>
        <v>0</v>
      </c>
    </row>
    <row r="196" spans="1:11" x14ac:dyDescent="0.75">
      <c r="A196" t="str">
        <f t="shared" si="10"/>
        <v>https://vgmdb.net/album/67646</v>
      </c>
      <c r="B196" t="s">
        <v>219</v>
      </c>
      <c r="C196" t="str">
        <f t="shared" si="12"/>
        <v>H30K-20027</v>
      </c>
      <c r="D196" t="str">
        <f t="shared" si="11"/>
        <v>https://vgmdb.net/album/67646</v>
      </c>
      <c r="E196">
        <f>COUNTIF($C196:$C$234,C196)-1</f>
        <v>0</v>
      </c>
      <c r="F196" t="s">
        <v>198</v>
      </c>
      <c r="K196">
        <f>IF(ISERROR(MATCH(C196,C$1:C195,0)),0,1)</f>
        <v>0</v>
      </c>
    </row>
    <row r="197" spans="1:11" x14ac:dyDescent="0.75">
      <c r="A197" t="str">
        <f t="shared" si="10"/>
        <v>https://vgmdb.net/album/48126</v>
      </c>
      <c r="B197" t="s">
        <v>219</v>
      </c>
      <c r="C197" t="str">
        <f t="shared" si="12"/>
        <v>H30K-20024</v>
      </c>
      <c r="D197" t="str">
        <f t="shared" si="11"/>
        <v>https://vgmdb.net/album/48126</v>
      </c>
      <c r="E197">
        <f>COUNTIF($C197:$C$234,C197)-1</f>
        <v>0</v>
      </c>
      <c r="F197" t="s">
        <v>199</v>
      </c>
      <c r="K197">
        <f>IF(ISERROR(MATCH(C197,C$1:C196,0)),0,1)</f>
        <v>0</v>
      </c>
    </row>
    <row r="198" spans="1:11" x14ac:dyDescent="0.75">
      <c r="A198" t="str">
        <f t="shared" si="10"/>
        <v>https://vgmdb.net/album/67947</v>
      </c>
      <c r="B198" t="s">
        <v>219</v>
      </c>
      <c r="C198" t="str">
        <f t="shared" si="12"/>
        <v>H30K-20025</v>
      </c>
      <c r="D198" t="str">
        <f t="shared" si="11"/>
        <v>https://vgmdb.net/album/67947</v>
      </c>
      <c r="E198">
        <f>COUNTIF($C198:$C$234,C198)-1</f>
        <v>0</v>
      </c>
      <c r="F198" t="s">
        <v>201</v>
      </c>
      <c r="K198">
        <f>IF(ISERROR(MATCH(C198,C$1:C197,0)),0,1)</f>
        <v>0</v>
      </c>
    </row>
    <row r="199" spans="1:11" x14ac:dyDescent="0.75">
      <c r="A199" t="str">
        <f t="shared" si="10"/>
        <v>https://vgmdb.net/album/100511</v>
      </c>
      <c r="B199" t="s">
        <v>219</v>
      </c>
      <c r="C199" t="str">
        <f t="shared" si="12"/>
        <v>H30K-20026</v>
      </c>
      <c r="D199" t="str">
        <f t="shared" si="11"/>
        <v>https://vgmdb.net/album/100511</v>
      </c>
      <c r="E199">
        <f>COUNTIF($C199:$C$234,C199)-1</f>
        <v>0</v>
      </c>
      <c r="F199" t="s">
        <v>202</v>
      </c>
      <c r="K199">
        <f>IF(ISERROR(MATCH(C199,C$1:C198,0)),0,1)</f>
        <v>0</v>
      </c>
    </row>
    <row r="200" spans="1:11" x14ac:dyDescent="0.75">
      <c r="A200" t="str">
        <f t="shared" si="10"/>
        <v>https://vgmdb.net/album/57710</v>
      </c>
      <c r="B200" t="s">
        <v>219</v>
      </c>
      <c r="C200" t="str">
        <f t="shared" si="12"/>
        <v>H30K-20115</v>
      </c>
      <c r="D200" t="str">
        <f t="shared" si="11"/>
        <v>https://vgmdb.net/album/57710</v>
      </c>
      <c r="E200">
        <f>COUNTIF($C200:$C$234,C200)-1</f>
        <v>0</v>
      </c>
      <c r="F200" t="s">
        <v>203</v>
      </c>
      <c r="K200">
        <f>IF(ISERROR(MATCH(C200,C$1:C199,0)),0,1)</f>
        <v>0</v>
      </c>
    </row>
    <row r="201" spans="1:11" x14ac:dyDescent="0.75">
      <c r="A201" t="str">
        <f t="shared" si="10"/>
        <v>https://vgmdb.net/album/57978</v>
      </c>
      <c r="B201" t="s">
        <v>219</v>
      </c>
      <c r="C201" t="str">
        <f t="shared" si="12"/>
        <v>H30K-20023</v>
      </c>
      <c r="D201" t="str">
        <f t="shared" si="11"/>
        <v>https://vgmdb.net/album/57978</v>
      </c>
      <c r="E201">
        <f>COUNTIF($C201:$C$234,C201)-1</f>
        <v>0</v>
      </c>
      <c r="F201" t="s">
        <v>205</v>
      </c>
      <c r="K201">
        <f>IF(ISERROR(MATCH(C201,C$1:C200,0)),0,1)</f>
        <v>0</v>
      </c>
    </row>
    <row r="202" spans="1:11" x14ac:dyDescent="0.75">
      <c r="A202" t="str">
        <f t="shared" si="10"/>
        <v>https://vgmdb.net/album/125213</v>
      </c>
      <c r="B202" t="s">
        <v>219</v>
      </c>
      <c r="C202" t="str">
        <f t="shared" si="12"/>
        <v>KTCR-1131</v>
      </c>
      <c r="D202" t="str">
        <f t="shared" si="11"/>
        <v>https://vgmdb.net/album/125213</v>
      </c>
      <c r="E202">
        <f>COUNTIF($C202:$C$234,C202)-1</f>
        <v>0</v>
      </c>
      <c r="F202" t="s">
        <v>206</v>
      </c>
      <c r="K202">
        <f>IF(ISERROR(MATCH(C202,C$1:C201,0)),0,1)</f>
        <v>0</v>
      </c>
    </row>
    <row r="203" spans="1:11" x14ac:dyDescent="0.75">
      <c r="A203" t="str">
        <f t="shared" ref="A203:A215" si="13">LEFT(D203,FIND(" (",D203&amp;" ("))</f>
        <v>https://vgmdb.net/album/66810</v>
      </c>
      <c r="B203" t="s">
        <v>219</v>
      </c>
      <c r="C203" t="str">
        <f t="shared" si="12"/>
        <v>PCCG-00144</v>
      </c>
      <c r="D203" t="str">
        <f t="shared" ref="D203:D215" si="14">MID(F203,FIND(" | ",F203)+3,100)</f>
        <v>https://vgmdb.net/album/66810</v>
      </c>
      <c r="E203">
        <f>COUNTIF($C203:$C$234,C203)-1</f>
        <v>0</v>
      </c>
      <c r="F203" t="s">
        <v>207</v>
      </c>
      <c r="K203">
        <f>IF(ISERROR(MATCH(C203,C$1:C202,0)),0,1)</f>
        <v>0</v>
      </c>
    </row>
    <row r="204" spans="1:11" x14ac:dyDescent="0.75">
      <c r="A204" t="str">
        <f t="shared" si="13"/>
        <v xml:space="preserve">https://vgmdb.net/album/112521 </v>
      </c>
      <c r="B204" t="s">
        <v>219</v>
      </c>
      <c r="C204" t="str">
        <f t="shared" si="12"/>
        <v>SM-217</v>
      </c>
      <c r="D204" t="str">
        <f t="shared" si="14"/>
        <v>https://vgmdb.net/album/112521 (TKCA-30734)</v>
      </c>
      <c r="E204">
        <f>COUNTIF($C204:$C$234,C204)-1</f>
        <v>0</v>
      </c>
      <c r="F204" t="s">
        <v>208</v>
      </c>
      <c r="K204">
        <f>IF(ISERROR(MATCH(C204,C$1:C203,0)),0,1)</f>
        <v>0</v>
      </c>
    </row>
    <row r="205" spans="1:11" x14ac:dyDescent="0.75">
      <c r="A205" t="str">
        <f t="shared" si="13"/>
        <v>https://vgmdb.net/album/22825</v>
      </c>
      <c r="B205" t="s">
        <v>219</v>
      </c>
      <c r="C205" t="str">
        <f t="shared" si="12"/>
        <v>VICL-281</v>
      </c>
      <c r="D205" t="str">
        <f t="shared" si="14"/>
        <v>https://vgmdb.net/album/22825</v>
      </c>
      <c r="E205">
        <f>COUNTIF($C205:$C$234,C205)-1</f>
        <v>0</v>
      </c>
      <c r="F205" t="s">
        <v>209</v>
      </c>
      <c r="K205">
        <f>IF(ISERROR(MATCH(C205,C$1:C204,0)),0,1)</f>
        <v>0</v>
      </c>
    </row>
    <row r="206" spans="1:11" x14ac:dyDescent="0.75">
      <c r="A206" t="str">
        <f t="shared" si="13"/>
        <v>https://vgmdb.net/album/58113</v>
      </c>
      <c r="B206" t="s">
        <v>219</v>
      </c>
      <c r="C206" t="str">
        <f t="shared" si="12"/>
        <v>VICL-60135</v>
      </c>
      <c r="D206" t="str">
        <f t="shared" si="14"/>
        <v>https://vgmdb.net/album/58113</v>
      </c>
      <c r="E206">
        <f>COUNTIF($C206:$C$234,C206)-1</f>
        <v>0</v>
      </c>
      <c r="F206" t="s">
        <v>210</v>
      </c>
      <c r="K206">
        <f>IF(ISERROR(MATCH(C206,C$1:C205,0)),0,1)</f>
        <v>0</v>
      </c>
    </row>
    <row r="207" spans="1:11" x14ac:dyDescent="0.75">
      <c r="A207" t="str">
        <f t="shared" si="13"/>
        <v xml:space="preserve">https://vgmdb.net/album/79331 </v>
      </c>
      <c r="B207" t="s">
        <v>219</v>
      </c>
      <c r="C207" t="str">
        <f t="shared" si="12"/>
        <v>SM-303</v>
      </c>
      <c r="D207" t="str">
        <f t="shared" si="14"/>
        <v>https://vgmdb.net/album/79331 (VICL-486)</v>
      </c>
      <c r="E207">
        <f>COUNTIF($C207:$C$234,C207)-1</f>
        <v>0</v>
      </c>
      <c r="F207" t="s">
        <v>226</v>
      </c>
      <c r="K207">
        <f>IF(ISERROR(MATCH(C207,C$1:C206,0)),0,1)</f>
        <v>0</v>
      </c>
    </row>
    <row r="208" spans="1:11" x14ac:dyDescent="0.75">
      <c r="A208" t="str">
        <f t="shared" si="13"/>
        <v>https://vgmdb.net/album/19107</v>
      </c>
      <c r="B208" t="s">
        <v>219</v>
      </c>
      <c r="C208" t="str">
        <f t="shared" si="12"/>
        <v>VICL-61082</v>
      </c>
      <c r="D208" t="str">
        <f t="shared" si="14"/>
        <v>https://vgmdb.net/album/19107</v>
      </c>
      <c r="E208">
        <f>COUNTIF($C208:$C$234,C208)-1</f>
        <v>0</v>
      </c>
      <c r="F208" t="s">
        <v>211</v>
      </c>
      <c r="K208">
        <f>IF(ISERROR(MATCH(C208,C$1:C207,0)),0,1)</f>
        <v>0</v>
      </c>
    </row>
    <row r="209" spans="1:11" x14ac:dyDescent="0.75">
      <c r="A209" t="str">
        <f t="shared" si="13"/>
        <v xml:space="preserve">https://vgmdb.net/album/33822 </v>
      </c>
      <c r="B209" t="s">
        <v>219</v>
      </c>
      <c r="C209" t="str">
        <f t="shared" si="12"/>
        <v>MICA-0480</v>
      </c>
      <c r="D209" t="str">
        <f t="shared" si="14"/>
        <v>https://vgmdb.net/album/33822 (SVWC-7243)</v>
      </c>
      <c r="E209">
        <f>COUNTIF($C209:$C$234,C209)-1</f>
        <v>0</v>
      </c>
      <c r="F209" t="s">
        <v>212</v>
      </c>
      <c r="K209">
        <f>IF(ISERROR(MATCH(C209,C$1:C208,0)),0,1)</f>
        <v>0</v>
      </c>
    </row>
    <row r="210" spans="1:11" x14ac:dyDescent="0.75">
      <c r="A210" t="str">
        <f t="shared" si="13"/>
        <v>https://vgmdb.net/album/33869</v>
      </c>
      <c r="B210" t="s">
        <v>219</v>
      </c>
      <c r="C210" t="str">
        <f t="shared" si="12"/>
        <v>MICA-0583</v>
      </c>
      <c r="D210" t="str">
        <f t="shared" si="14"/>
        <v>https://vgmdb.net/album/33869</v>
      </c>
      <c r="E210">
        <f>COUNTIF($C210:$C$234,C210)-1</f>
        <v>0</v>
      </c>
      <c r="F210" t="s">
        <v>213</v>
      </c>
      <c r="K210">
        <f>IF(ISERROR(MATCH(C210,C$1:C209,0)),0,1)</f>
        <v>0</v>
      </c>
    </row>
    <row r="211" spans="1:11" x14ac:dyDescent="0.75">
      <c r="A211" t="str">
        <f t="shared" si="13"/>
        <v>https://vgmdb.net/album/31148</v>
      </c>
      <c r="B211" t="s">
        <v>219</v>
      </c>
      <c r="C211" t="str">
        <f t="shared" si="12"/>
        <v>GNCA-1042</v>
      </c>
      <c r="D211" t="str">
        <f t="shared" si="14"/>
        <v>https://vgmdb.net/album/31148</v>
      </c>
      <c r="E211">
        <f>COUNTIF($C211:$C$234,C211)-1</f>
        <v>0</v>
      </c>
      <c r="F211" t="s">
        <v>214</v>
      </c>
      <c r="K211">
        <f>IF(ISERROR(MATCH(C211,C$1:C210,0)),0,1)</f>
        <v>0</v>
      </c>
    </row>
    <row r="212" spans="1:11" x14ac:dyDescent="0.75">
      <c r="A212" t="str">
        <f t="shared" si="13"/>
        <v>https://vgmdb.net/album/47147</v>
      </c>
      <c r="B212" t="s">
        <v>219</v>
      </c>
      <c r="C212" t="str">
        <f t="shared" si="12"/>
        <v>VICL-608</v>
      </c>
      <c r="D212" t="str">
        <f t="shared" si="14"/>
        <v>https://vgmdb.net/album/47147</v>
      </c>
      <c r="E212">
        <f>COUNTIF($C212:$C$234,C212)-1</f>
        <v>0</v>
      </c>
      <c r="F212" t="s">
        <v>215</v>
      </c>
      <c r="K212">
        <f>IF(ISERROR(MATCH(C212,C$1:C211,0)),0,1)</f>
        <v>0</v>
      </c>
    </row>
    <row r="213" spans="1:11" x14ac:dyDescent="0.75">
      <c r="A213" t="str">
        <f t="shared" si="13"/>
        <v>https://vgmdb.net/album/75307</v>
      </c>
      <c r="B213" t="s">
        <v>219</v>
      </c>
      <c r="C213" t="str">
        <f t="shared" si="12"/>
        <v>GGG-015</v>
      </c>
      <c r="D213" t="str">
        <f t="shared" si="14"/>
        <v>https://vgmdb.net/album/75307</v>
      </c>
      <c r="E213">
        <f>COUNTIF($C213:$C$234,C213)-1</f>
        <v>0</v>
      </c>
      <c r="F213" t="s">
        <v>216</v>
      </c>
      <c r="K213">
        <f>IF(ISERROR(MATCH(C213,C$1:C212,0)),0,1)</f>
        <v>0</v>
      </c>
    </row>
    <row r="214" spans="1:11" x14ac:dyDescent="0.75">
      <c r="A214" t="str">
        <f t="shared" si="13"/>
        <v>https://vgmdb.net/album/47801</v>
      </c>
      <c r="B214" t="s">
        <v>219</v>
      </c>
      <c r="C214" t="str">
        <f t="shared" si="12"/>
        <v>VICL-2138</v>
      </c>
      <c r="D214" t="str">
        <f t="shared" si="14"/>
        <v>https://vgmdb.net/album/47801</v>
      </c>
      <c r="E214">
        <f>COUNTIF($C214:$C$234,C214)-1</f>
        <v>0</v>
      </c>
      <c r="F214" t="s">
        <v>217</v>
      </c>
      <c r="K214">
        <f>IF(ISERROR(MATCH(C214,C$1:C213,0)),0,1)</f>
        <v>0</v>
      </c>
    </row>
    <row r="215" spans="1:11" x14ac:dyDescent="0.75">
      <c r="A215" t="str">
        <f t="shared" si="13"/>
        <v>https://vgmdb.net/album/44988</v>
      </c>
      <c r="B215" t="s">
        <v>219</v>
      </c>
      <c r="C215" t="str">
        <f t="shared" si="12"/>
        <v>TYCY-5219</v>
      </c>
      <c r="D215" t="str">
        <f t="shared" si="14"/>
        <v>https://vgmdb.net/album/44988</v>
      </c>
      <c r="E215">
        <f>COUNTIF($C215:$C$234,C215)-1</f>
        <v>0</v>
      </c>
      <c r="F215" t="s">
        <v>218</v>
      </c>
      <c r="K215">
        <f>IF(ISERROR(MATCH(C215,C$1:C214,0)),0,1)</f>
        <v>0</v>
      </c>
    </row>
    <row r="216" spans="1:11" x14ac:dyDescent="0.75">
      <c r="A216" t="str">
        <f t="shared" ref="A216:A234" si="15">LEFT(D216,FIND(" (",D216&amp;" ("))</f>
        <v>https://vgmdb.net/album/63834</v>
      </c>
      <c r="B216" t="s">
        <v>219</v>
      </c>
      <c r="C216" t="str">
        <f t="shared" si="12"/>
        <v>PCCG-00457</v>
      </c>
      <c r="D216" t="str">
        <f t="shared" ref="D216:D219" si="16">MID(F216,FIND(" | ",F216)+3,100)</f>
        <v>https://vgmdb.net/album/63834</v>
      </c>
      <c r="E216">
        <f>COUNTIF($C216:$C$234,C216)-1</f>
        <v>0</v>
      </c>
      <c r="F216" t="s">
        <v>5</v>
      </c>
      <c r="K216">
        <f>IF(ISERROR(MATCH(C216,C$1:C215,0)),0,1)</f>
        <v>0</v>
      </c>
    </row>
    <row r="217" spans="1:11" x14ac:dyDescent="0.75">
      <c r="A217" t="str">
        <f t="shared" si="15"/>
        <v>https://vgmdb.net/album/63644</v>
      </c>
      <c r="B217" t="s">
        <v>219</v>
      </c>
      <c r="C217" t="str">
        <f t="shared" si="12"/>
        <v>PCCG-00487</v>
      </c>
      <c r="D217" t="str">
        <f t="shared" si="16"/>
        <v>https://vgmdb.net/album/63644</v>
      </c>
      <c r="E217">
        <f>COUNTIF($C217:$C$234,C217)-1</f>
        <v>0</v>
      </c>
      <c r="F217" t="s">
        <v>223</v>
      </c>
      <c r="K217">
        <f>IF(ISERROR(MATCH(C217,C$1:C216,0)),0,1)</f>
        <v>0</v>
      </c>
    </row>
    <row r="218" spans="1:11" x14ac:dyDescent="0.75">
      <c r="A218" t="str">
        <f t="shared" si="15"/>
        <v>https://vgmdb.net/album/63866</v>
      </c>
      <c r="B218" t="s">
        <v>219</v>
      </c>
      <c r="C218" t="str">
        <f t="shared" si="12"/>
        <v>KICA-107</v>
      </c>
      <c r="D218" t="str">
        <f t="shared" si="16"/>
        <v>https://vgmdb.net/album/63866</v>
      </c>
      <c r="E218">
        <f>COUNTIF($C218:$C$234,C218)-1</f>
        <v>0</v>
      </c>
      <c r="F218" t="s">
        <v>3</v>
      </c>
      <c r="K218">
        <f>IF(ISERROR(MATCH(C218,C$1:C217,0)),0,1)</f>
        <v>0</v>
      </c>
    </row>
    <row r="219" spans="1:11" x14ac:dyDescent="0.75">
      <c r="A219" t="str">
        <f t="shared" si="15"/>
        <v>https://vgmdb.net/album/44593</v>
      </c>
      <c r="B219" t="s">
        <v>219</v>
      </c>
      <c r="C219" t="str">
        <f t="shared" si="12"/>
        <v>KICA-305</v>
      </c>
      <c r="D219" t="str">
        <f t="shared" si="16"/>
        <v>https://vgmdb.net/album/44593</v>
      </c>
      <c r="E219">
        <f>COUNTIF($C219:$C$234,C219)-1</f>
        <v>0</v>
      </c>
      <c r="F219" t="s">
        <v>224</v>
      </c>
      <c r="K219">
        <f>IF(ISERROR(MATCH(C219,C$1:C218,0)),0,1)</f>
        <v>0</v>
      </c>
    </row>
    <row r="220" spans="1:11" x14ac:dyDescent="0.75">
      <c r="A220" t="str">
        <f t="shared" si="15"/>
        <v>https://vgmdb.net/album/69773</v>
      </c>
      <c r="B220" t="s">
        <v>219</v>
      </c>
      <c r="C220" t="str">
        <f t="shared" ref="C220:C233" si="17">LEFT(F220,FIND(" | ",F220)-1)</f>
        <v>COCC-15190~1</v>
      </c>
      <c r="D220" t="str">
        <f t="shared" ref="D220:D233" si="18">MID(F220,FIND(" | ",F220)+3,100)</f>
        <v>https://vgmdb.net/album/69773</v>
      </c>
      <c r="E220">
        <f>COUNTIF($C220:$C$234,C220)-1</f>
        <v>0</v>
      </c>
      <c r="F220" t="s">
        <v>228</v>
      </c>
    </row>
    <row r="221" spans="1:11" x14ac:dyDescent="0.75">
      <c r="A221" t="str">
        <f t="shared" si="15"/>
        <v>https://vgmdb.net/album/116855</v>
      </c>
      <c r="B221" t="s">
        <v>219</v>
      </c>
      <c r="C221" t="str">
        <f t="shared" si="17"/>
        <v>VICL-40077~8</v>
      </c>
      <c r="D221" t="str">
        <f t="shared" si="18"/>
        <v>https://vgmdb.net/album/116855</v>
      </c>
      <c r="E221">
        <f>COUNTIF($C221:$C$234,C221)-1</f>
        <v>0</v>
      </c>
      <c r="F221" t="s">
        <v>52</v>
      </c>
    </row>
    <row r="222" spans="1:11" x14ac:dyDescent="0.75">
      <c r="A222" t="str">
        <f t="shared" si="15"/>
        <v xml:space="preserve">https://vgmdb.net/album/129427 </v>
      </c>
      <c r="B222" t="s">
        <v>219</v>
      </c>
      <c r="C222" t="str">
        <f t="shared" si="17"/>
        <v>SM-233</v>
      </c>
      <c r="D222" t="str">
        <f t="shared" si="18"/>
        <v>https://vgmdb.net/album/129427 (KACD-1016)</v>
      </c>
      <c r="E222">
        <f>COUNTIF($C222:$C$234,C222)-1</f>
        <v>0</v>
      </c>
      <c r="F222" t="s">
        <v>230</v>
      </c>
    </row>
    <row r="223" spans="1:11" x14ac:dyDescent="0.75">
      <c r="A223" t="str">
        <f t="shared" si="15"/>
        <v xml:space="preserve">https://vgmdb.net/album/2434 </v>
      </c>
      <c r="B223" t="s">
        <v>219</v>
      </c>
      <c r="C223" t="str">
        <f t="shared" si="17"/>
        <v>GM-430</v>
      </c>
      <c r="D223" t="str">
        <f t="shared" si="18"/>
        <v>https://vgmdb.net/album/2434 (MJCG-80043)</v>
      </c>
      <c r="E223">
        <f>COUNTIF($C223:$C$234,C223)-1</f>
        <v>0</v>
      </c>
      <c r="F223" t="s">
        <v>231</v>
      </c>
    </row>
    <row r="224" spans="1:11" x14ac:dyDescent="0.75">
      <c r="A224" t="str">
        <f t="shared" si="15"/>
        <v xml:space="preserve">https://vgmdb.net/album/150707 </v>
      </c>
      <c r="B224" t="s">
        <v>219</v>
      </c>
      <c r="C224" t="str">
        <f t="shared" si="17"/>
        <v>SM-387</v>
      </c>
      <c r="D224" t="str">
        <f t="shared" si="18"/>
        <v>https://vgmdb.net/album/150707 (PCCA-00695)</v>
      </c>
      <c r="E224">
        <f>COUNTIF($C224:$C$234,C224)-1</f>
        <v>0</v>
      </c>
      <c r="F224" t="s">
        <v>232</v>
      </c>
    </row>
    <row r="225" spans="1:6" x14ac:dyDescent="0.75">
      <c r="A225" t="str">
        <f t="shared" si="15"/>
        <v xml:space="preserve">https://vgmdb.net/album/57653 </v>
      </c>
      <c r="B225" t="s">
        <v>219</v>
      </c>
      <c r="C225" t="str">
        <f t="shared" si="17"/>
        <v>SM-291~292</v>
      </c>
      <c r="D225" t="str">
        <f t="shared" si="18"/>
        <v>https://vgmdb.net/album/57653 (KICA-203~4)</v>
      </c>
      <c r="E225">
        <f>COUNTIF($C225:$C$234,C225)-1</f>
        <v>0</v>
      </c>
      <c r="F225" t="s">
        <v>233</v>
      </c>
    </row>
    <row r="226" spans="1:6" x14ac:dyDescent="0.75">
      <c r="A226" t="str">
        <f t="shared" si="15"/>
        <v xml:space="preserve">https://vgmdb.net/album/19263 </v>
      </c>
      <c r="B226" t="s">
        <v>219</v>
      </c>
      <c r="C226" t="str">
        <f t="shared" si="17"/>
        <v>SM-20</v>
      </c>
      <c r="D226" t="str">
        <f t="shared" si="18"/>
        <v>https://vgmdb.net/album/19263 (TKCA-30331)</v>
      </c>
      <c r="E226">
        <f>COUNTIF($C226:$C$234,C226)-1</f>
        <v>0</v>
      </c>
      <c r="F226" t="s">
        <v>234</v>
      </c>
    </row>
    <row r="227" spans="1:6" x14ac:dyDescent="0.75">
      <c r="A227" t="str">
        <f t="shared" si="15"/>
        <v>https://vgmdb.net/album/66512</v>
      </c>
      <c r="B227" t="s">
        <v>219</v>
      </c>
      <c r="C227" t="str">
        <f t="shared" si="17"/>
        <v>KICA-483~4</v>
      </c>
      <c r="D227" t="str">
        <f t="shared" si="18"/>
        <v>https://vgmdb.net/album/66512</v>
      </c>
      <c r="E227">
        <f>COUNTIF($C227:$C$234,C227)-1</f>
        <v>0</v>
      </c>
      <c r="F227" t="s">
        <v>143</v>
      </c>
    </row>
    <row r="228" spans="1:6" x14ac:dyDescent="0.75">
      <c r="A228" t="str">
        <f t="shared" si="15"/>
        <v>https://vgmdb.net/album/34012</v>
      </c>
      <c r="B228" t="s">
        <v>219</v>
      </c>
      <c r="C228" t="str">
        <f t="shared" si="17"/>
        <v>KICA-454~5</v>
      </c>
      <c r="D228" t="str">
        <f t="shared" si="18"/>
        <v>https://vgmdb.net/album/34012</v>
      </c>
      <c r="E228">
        <f>COUNTIF($C228:$C$234,C228)-1</f>
        <v>0</v>
      </c>
      <c r="F228" t="s">
        <v>235</v>
      </c>
    </row>
    <row r="229" spans="1:6" x14ac:dyDescent="0.75">
      <c r="A229" t="str">
        <f t="shared" si="15"/>
        <v xml:space="preserve">https://vgmdb.net/album/27415 </v>
      </c>
      <c r="B229" t="s">
        <v>219</v>
      </c>
      <c r="C229" t="str">
        <f t="shared" si="17"/>
        <v>SM-067</v>
      </c>
      <c r="D229" t="str">
        <f t="shared" si="18"/>
        <v>https://vgmdb.net/album/27415 (VICL-181)</v>
      </c>
      <c r="E229">
        <f>COUNTIF($C229:$C$234,C229)-1</f>
        <v>0</v>
      </c>
      <c r="F229" t="s">
        <v>236</v>
      </c>
    </row>
    <row r="230" spans="1:6" x14ac:dyDescent="0.75">
      <c r="A230" t="str">
        <f t="shared" si="15"/>
        <v>https://vgmdb.net/album/125767</v>
      </c>
      <c r="B230" t="s">
        <v>219</v>
      </c>
      <c r="C230" t="str">
        <f t="shared" si="17"/>
        <v>KACD-0028~9</v>
      </c>
      <c r="D230" t="str">
        <f t="shared" si="18"/>
        <v>https://vgmdb.net/album/125767</v>
      </c>
      <c r="E230">
        <f>COUNTIF($C230:$C$234,C230)-1</f>
        <v>0</v>
      </c>
      <c r="F230" t="s">
        <v>237</v>
      </c>
    </row>
    <row r="231" spans="1:6" x14ac:dyDescent="0.75">
      <c r="A231" t="str">
        <f t="shared" si="15"/>
        <v>https://vgmdb.net/album/62149</v>
      </c>
      <c r="B231" t="s">
        <v>219</v>
      </c>
      <c r="C231" t="str">
        <f t="shared" si="17"/>
        <v>H55K-20010~1</v>
      </c>
      <c r="D231" t="str">
        <f t="shared" si="18"/>
        <v>https://vgmdb.net/album/62149</v>
      </c>
      <c r="E231">
        <f>COUNTIF($C231:$C$234,C231)-1</f>
        <v>0</v>
      </c>
      <c r="F231" t="s">
        <v>193</v>
      </c>
    </row>
    <row r="232" spans="1:6" x14ac:dyDescent="0.75">
      <c r="A232" t="str">
        <f t="shared" si="15"/>
        <v>https://vgmdb.net/album/61944</v>
      </c>
      <c r="B232" t="s">
        <v>219</v>
      </c>
      <c r="C232" t="str">
        <f t="shared" si="17"/>
        <v>KTCR-1097~8</v>
      </c>
      <c r="D232" t="str">
        <f t="shared" si="18"/>
        <v>https://vgmdb.net/album/61944</v>
      </c>
      <c r="E232">
        <f>COUNTIF($C232:$C$234,C232)-1</f>
        <v>0</v>
      </c>
      <c r="F232" t="s">
        <v>200</v>
      </c>
    </row>
    <row r="233" spans="1:6" x14ac:dyDescent="0.75">
      <c r="A233" t="str">
        <f t="shared" si="15"/>
        <v>https://vgmdb.net/album/80270</v>
      </c>
      <c r="B233" t="s">
        <v>219</v>
      </c>
      <c r="C233" t="str">
        <f t="shared" si="17"/>
        <v>H42K-20119~20</v>
      </c>
      <c r="D233" t="str">
        <f t="shared" si="18"/>
        <v>https://vgmdb.net/album/80270</v>
      </c>
      <c r="E233">
        <f>COUNTIF($C233:$C$234,C233)-1</f>
        <v>0</v>
      </c>
      <c r="F233" t="s">
        <v>204</v>
      </c>
    </row>
    <row r="234" spans="1:6" x14ac:dyDescent="0.75">
      <c r="A234" t="str">
        <f t="shared" si="15"/>
        <v>https://vgmdb.net/album/155083</v>
      </c>
      <c r="B234" t="s">
        <v>219</v>
      </c>
      <c r="C234" t="str">
        <f t="shared" ref="C234" si="19">LEFT(F234,FIND(" | ",F234)-1)</f>
        <v>COCX-31205</v>
      </c>
      <c r="D234" t="str">
        <f t="shared" ref="D234" si="20">MID(F234,FIND(" | ",F234)+3,100)</f>
        <v>https://vgmdb.net/album/155083</v>
      </c>
      <c r="E234">
        <f>COUNTIF($C234:$C$234,C234)-1</f>
        <v>0</v>
      </c>
      <c r="F234" t="s">
        <v>243</v>
      </c>
    </row>
    <row r="245" spans="6:6" x14ac:dyDescent="0.75">
      <c r="F245" s="3"/>
    </row>
    <row r="246" spans="6:6" x14ac:dyDescent="0.75">
      <c r="F246" s="3"/>
    </row>
    <row r="247" spans="6:6" x14ac:dyDescent="0.75">
      <c r="F247" s="3"/>
    </row>
    <row r="248" spans="6:6" x14ac:dyDescent="0.75">
      <c r="F248" s="3"/>
    </row>
    <row r="249" spans="6:6" x14ac:dyDescent="0.75">
      <c r="F249" s="3"/>
    </row>
    <row r="250" spans="6:6" x14ac:dyDescent="0.75">
      <c r="F250" s="3"/>
    </row>
    <row r="251" spans="6:6" x14ac:dyDescent="0.75">
      <c r="F251" s="3"/>
    </row>
    <row r="252" spans="6:6" x14ac:dyDescent="0.75">
      <c r="F252" s="3"/>
    </row>
    <row r="253" spans="6:6" x14ac:dyDescent="0.75">
      <c r="F253" s="3"/>
    </row>
    <row r="254" spans="6:6" x14ac:dyDescent="0.75">
      <c r="F254" s="3"/>
    </row>
    <row r="255" spans="6:6" x14ac:dyDescent="0.75">
      <c r="F255" s="3"/>
    </row>
    <row r="256" spans="6:6" x14ac:dyDescent="0.75">
      <c r="F256" s="3"/>
    </row>
    <row r="257" spans="6:6" x14ac:dyDescent="0.75">
      <c r="F257" s="3"/>
    </row>
    <row r="258" spans="6:6" x14ac:dyDescent="0.75">
      <c r="F258" s="3"/>
    </row>
    <row r="259" spans="6:6" x14ac:dyDescent="0.75">
      <c r="F259" s="3"/>
    </row>
    <row r="260" spans="6:6" x14ac:dyDescent="0.75">
      <c r="F260" s="3"/>
    </row>
    <row r="261" spans="6:6" x14ac:dyDescent="0.75">
      <c r="F261" s="3"/>
    </row>
    <row r="262" spans="6:6" x14ac:dyDescent="0.75">
      <c r="F262" s="3"/>
    </row>
    <row r="263" spans="6:6" x14ac:dyDescent="0.75">
      <c r="F263" s="3"/>
    </row>
    <row r="264" spans="6:6" x14ac:dyDescent="0.75">
      <c r="F264" s="3"/>
    </row>
    <row r="265" spans="6:6" x14ac:dyDescent="0.75">
      <c r="F265" s="3"/>
    </row>
    <row r="266" spans="6:6" x14ac:dyDescent="0.75">
      <c r="F266" s="3"/>
    </row>
    <row r="267" spans="6:6" x14ac:dyDescent="0.75">
      <c r="F267" s="3"/>
    </row>
    <row r="268" spans="6:6" x14ac:dyDescent="0.75">
      <c r="F268" s="3"/>
    </row>
    <row r="269" spans="6:6" x14ac:dyDescent="0.75">
      <c r="F269" s="3"/>
    </row>
    <row r="270" spans="6:6" x14ac:dyDescent="0.75">
      <c r="F270" s="3"/>
    </row>
    <row r="271" spans="6:6" x14ac:dyDescent="0.75">
      <c r="F271" s="3"/>
    </row>
    <row r="272" spans="6:6" x14ac:dyDescent="0.75">
      <c r="F272" s="3"/>
    </row>
    <row r="273" spans="6:6" x14ac:dyDescent="0.75">
      <c r="F273" s="3"/>
    </row>
    <row r="274" spans="6:6" x14ac:dyDescent="0.75">
      <c r="F274" s="3"/>
    </row>
    <row r="275" spans="6:6" x14ac:dyDescent="0.75">
      <c r="F275" s="3"/>
    </row>
    <row r="276" spans="6:6" x14ac:dyDescent="0.75">
      <c r="F276" s="3"/>
    </row>
    <row r="277" spans="6:6" x14ac:dyDescent="0.75">
      <c r="F277" s="3"/>
    </row>
    <row r="278" spans="6:6" x14ac:dyDescent="0.75">
      <c r="F278" s="3"/>
    </row>
    <row r="279" spans="6:6" x14ac:dyDescent="0.75">
      <c r="F279" s="3"/>
    </row>
    <row r="280" spans="6:6" x14ac:dyDescent="0.75">
      <c r="F280" s="3"/>
    </row>
    <row r="281" spans="6:6" x14ac:dyDescent="0.75">
      <c r="F281" s="3"/>
    </row>
    <row r="282" spans="6:6" x14ac:dyDescent="0.75">
      <c r="F282" s="3"/>
    </row>
    <row r="283" spans="6:6" x14ac:dyDescent="0.75">
      <c r="F283" s="3"/>
    </row>
    <row r="284" spans="6:6" x14ac:dyDescent="0.75">
      <c r="F284" s="3"/>
    </row>
    <row r="285" spans="6:6" x14ac:dyDescent="0.75">
      <c r="F285" s="3"/>
    </row>
    <row r="286" spans="6:6" x14ac:dyDescent="0.75">
      <c r="F286" s="3"/>
    </row>
    <row r="287" spans="6:6" x14ac:dyDescent="0.75">
      <c r="F287" s="3"/>
    </row>
    <row r="288" spans="6:6" x14ac:dyDescent="0.75">
      <c r="F288" s="3"/>
    </row>
    <row r="289" spans="6:6" x14ac:dyDescent="0.75">
      <c r="F289" s="3"/>
    </row>
    <row r="290" spans="6:6" x14ac:dyDescent="0.75">
      <c r="F290" s="3"/>
    </row>
    <row r="291" spans="6:6" x14ac:dyDescent="0.75">
      <c r="F291" s="3"/>
    </row>
    <row r="292" spans="6:6" x14ac:dyDescent="0.75">
      <c r="F292" s="3"/>
    </row>
    <row r="293" spans="6:6" x14ac:dyDescent="0.75">
      <c r="F293" s="3"/>
    </row>
    <row r="294" spans="6:6" x14ac:dyDescent="0.75">
      <c r="F294" s="3"/>
    </row>
    <row r="295" spans="6:6" x14ac:dyDescent="0.75">
      <c r="F295" s="3"/>
    </row>
    <row r="296" spans="6:6" x14ac:dyDescent="0.75">
      <c r="F296" s="3"/>
    </row>
    <row r="297" spans="6:6" x14ac:dyDescent="0.75">
      <c r="F297" s="3"/>
    </row>
    <row r="298" spans="6:6" x14ac:dyDescent="0.75">
      <c r="F298" s="3"/>
    </row>
    <row r="299" spans="6:6" x14ac:dyDescent="0.75">
      <c r="F299" s="3"/>
    </row>
    <row r="300" spans="6:6" x14ac:dyDescent="0.75">
      <c r="F300" s="3"/>
    </row>
    <row r="301" spans="6:6" x14ac:dyDescent="0.75">
      <c r="F301" s="3"/>
    </row>
    <row r="302" spans="6:6" x14ac:dyDescent="0.75">
      <c r="F302" s="3"/>
    </row>
    <row r="303" spans="6:6" x14ac:dyDescent="0.75">
      <c r="F303" s="3"/>
    </row>
    <row r="304" spans="6:6" x14ac:dyDescent="0.75">
      <c r="F304" s="3"/>
    </row>
    <row r="305" spans="6:6" x14ac:dyDescent="0.75">
      <c r="F305" s="3"/>
    </row>
    <row r="306" spans="6:6" x14ac:dyDescent="0.75">
      <c r="F306" s="3"/>
    </row>
    <row r="307" spans="6:6" x14ac:dyDescent="0.75">
      <c r="F307" s="3"/>
    </row>
    <row r="308" spans="6:6" x14ac:dyDescent="0.75">
      <c r="F308" s="3"/>
    </row>
    <row r="309" spans="6:6" x14ac:dyDescent="0.75">
      <c r="F309" s="3"/>
    </row>
    <row r="310" spans="6:6" x14ac:dyDescent="0.75">
      <c r="F310" s="3"/>
    </row>
    <row r="311" spans="6:6" x14ac:dyDescent="0.75">
      <c r="F311" s="3"/>
    </row>
    <row r="312" spans="6:6" x14ac:dyDescent="0.75">
      <c r="F312" s="3"/>
    </row>
    <row r="313" spans="6:6" x14ac:dyDescent="0.75">
      <c r="F313" s="3"/>
    </row>
    <row r="314" spans="6:6" x14ac:dyDescent="0.75">
      <c r="F314" s="3"/>
    </row>
    <row r="315" spans="6:6" x14ac:dyDescent="0.75">
      <c r="F315" s="3"/>
    </row>
    <row r="316" spans="6:6" x14ac:dyDescent="0.75">
      <c r="F316" s="3"/>
    </row>
    <row r="317" spans="6:6" x14ac:dyDescent="0.75">
      <c r="F317" s="3"/>
    </row>
    <row r="318" spans="6:6" x14ac:dyDescent="0.75">
      <c r="F318" s="3"/>
    </row>
    <row r="319" spans="6:6" x14ac:dyDescent="0.75">
      <c r="F319" s="3"/>
    </row>
    <row r="320" spans="6:6" x14ac:dyDescent="0.75">
      <c r="F320" s="3"/>
    </row>
    <row r="321" spans="6:6" x14ac:dyDescent="0.75">
      <c r="F321" s="3"/>
    </row>
    <row r="322" spans="6:6" x14ac:dyDescent="0.75">
      <c r="F322" s="3"/>
    </row>
    <row r="323" spans="6:6" x14ac:dyDescent="0.75">
      <c r="F323" s="3"/>
    </row>
    <row r="324" spans="6:6" x14ac:dyDescent="0.75">
      <c r="F324" s="3"/>
    </row>
    <row r="325" spans="6:6" x14ac:dyDescent="0.75">
      <c r="F325" s="3"/>
    </row>
    <row r="326" spans="6:6" x14ac:dyDescent="0.75">
      <c r="F326" s="3"/>
    </row>
    <row r="327" spans="6:6" x14ac:dyDescent="0.75">
      <c r="F327" s="3"/>
    </row>
    <row r="328" spans="6:6" x14ac:dyDescent="0.75">
      <c r="F328" s="3"/>
    </row>
    <row r="329" spans="6:6" x14ac:dyDescent="0.75">
      <c r="F329" s="3"/>
    </row>
    <row r="330" spans="6:6" x14ac:dyDescent="0.75">
      <c r="F330" s="3"/>
    </row>
    <row r="331" spans="6:6" x14ac:dyDescent="0.75">
      <c r="F331" s="3"/>
    </row>
    <row r="332" spans="6:6" x14ac:dyDescent="0.75">
      <c r="F332" s="3"/>
    </row>
    <row r="333" spans="6:6" x14ac:dyDescent="0.75">
      <c r="F333" s="3"/>
    </row>
    <row r="334" spans="6:6" x14ac:dyDescent="0.75">
      <c r="F334" s="3"/>
    </row>
    <row r="335" spans="6:6" x14ac:dyDescent="0.75">
      <c r="F335" s="3"/>
    </row>
    <row r="336" spans="6:6" x14ac:dyDescent="0.75">
      <c r="F336" s="3"/>
    </row>
    <row r="337" spans="6:6" x14ac:dyDescent="0.75">
      <c r="F337" s="3"/>
    </row>
    <row r="338" spans="6:6" x14ac:dyDescent="0.75">
      <c r="F338" s="3"/>
    </row>
    <row r="339" spans="6:6" x14ac:dyDescent="0.75">
      <c r="F339" s="3"/>
    </row>
    <row r="340" spans="6:6" x14ac:dyDescent="0.75">
      <c r="F340" s="3"/>
    </row>
    <row r="341" spans="6:6" x14ac:dyDescent="0.75">
      <c r="F341" s="3"/>
    </row>
    <row r="342" spans="6:6" x14ac:dyDescent="0.75">
      <c r="F342" s="3"/>
    </row>
    <row r="343" spans="6:6" x14ac:dyDescent="0.75">
      <c r="F343" s="3"/>
    </row>
    <row r="344" spans="6:6" x14ac:dyDescent="0.75">
      <c r="F344" s="3"/>
    </row>
    <row r="345" spans="6:6" x14ac:dyDescent="0.75">
      <c r="F345" s="3"/>
    </row>
    <row r="346" spans="6:6" x14ac:dyDescent="0.75">
      <c r="F346" s="3"/>
    </row>
    <row r="347" spans="6:6" x14ac:dyDescent="0.75">
      <c r="F347" s="3"/>
    </row>
    <row r="348" spans="6:6" x14ac:dyDescent="0.75">
      <c r="F348" s="3"/>
    </row>
    <row r="349" spans="6:6" x14ac:dyDescent="0.75">
      <c r="F349" s="3"/>
    </row>
    <row r="350" spans="6:6" x14ac:dyDescent="0.75">
      <c r="F350" s="3"/>
    </row>
    <row r="351" spans="6:6" x14ac:dyDescent="0.75">
      <c r="F351" s="3"/>
    </row>
    <row r="352" spans="6:6" x14ac:dyDescent="0.75">
      <c r="F352" s="3"/>
    </row>
    <row r="353" spans="6:6" x14ac:dyDescent="0.75">
      <c r="F353" s="3"/>
    </row>
    <row r="354" spans="6:6" x14ac:dyDescent="0.75">
      <c r="F354" s="3"/>
    </row>
    <row r="355" spans="6:6" x14ac:dyDescent="0.75">
      <c r="F355" s="3"/>
    </row>
    <row r="356" spans="6:6" x14ac:dyDescent="0.75">
      <c r="F356" s="3"/>
    </row>
    <row r="357" spans="6:6" x14ac:dyDescent="0.75">
      <c r="F357" s="3"/>
    </row>
    <row r="358" spans="6:6" x14ac:dyDescent="0.75">
      <c r="F358" s="3"/>
    </row>
    <row r="359" spans="6:6" x14ac:dyDescent="0.75">
      <c r="F359" s="3"/>
    </row>
    <row r="360" spans="6:6" x14ac:dyDescent="0.75">
      <c r="F360" s="3"/>
    </row>
    <row r="361" spans="6:6" x14ac:dyDescent="0.75">
      <c r="F361" s="3"/>
    </row>
    <row r="362" spans="6:6" x14ac:dyDescent="0.75">
      <c r="F362" s="3"/>
    </row>
    <row r="363" spans="6:6" x14ac:dyDescent="0.75">
      <c r="F363" s="3"/>
    </row>
    <row r="364" spans="6:6" x14ac:dyDescent="0.75">
      <c r="F364" s="3"/>
    </row>
    <row r="365" spans="6:6" x14ac:dyDescent="0.75">
      <c r="F365" s="3"/>
    </row>
    <row r="366" spans="6:6" x14ac:dyDescent="0.75">
      <c r="F366" s="3"/>
    </row>
    <row r="367" spans="6:6" x14ac:dyDescent="0.75">
      <c r="F367" s="3"/>
    </row>
    <row r="368" spans="6:6" x14ac:dyDescent="0.75">
      <c r="F368" s="3"/>
    </row>
    <row r="369" spans="6:6" x14ac:dyDescent="0.75">
      <c r="F369" s="3"/>
    </row>
    <row r="370" spans="6:6" x14ac:dyDescent="0.75">
      <c r="F370" s="3"/>
    </row>
    <row r="371" spans="6:6" x14ac:dyDescent="0.75">
      <c r="F371" s="3"/>
    </row>
    <row r="372" spans="6:6" x14ac:dyDescent="0.75">
      <c r="F372" s="3"/>
    </row>
    <row r="373" spans="6:6" x14ac:dyDescent="0.75">
      <c r="F373" s="3"/>
    </row>
    <row r="374" spans="6:6" x14ac:dyDescent="0.75">
      <c r="F374" s="3"/>
    </row>
    <row r="375" spans="6:6" x14ac:dyDescent="0.75">
      <c r="F375" s="3"/>
    </row>
    <row r="376" spans="6:6" x14ac:dyDescent="0.75">
      <c r="F376" s="3"/>
    </row>
    <row r="377" spans="6:6" x14ac:dyDescent="0.75">
      <c r="F377" s="3"/>
    </row>
    <row r="378" spans="6:6" x14ac:dyDescent="0.75">
      <c r="F378" s="3"/>
    </row>
    <row r="379" spans="6:6" x14ac:dyDescent="0.75">
      <c r="F379" s="3"/>
    </row>
    <row r="380" spans="6:6" x14ac:dyDescent="0.75">
      <c r="F380" s="3"/>
    </row>
    <row r="381" spans="6:6" x14ac:dyDescent="0.75">
      <c r="F381" s="3"/>
    </row>
    <row r="382" spans="6:6" x14ac:dyDescent="0.75">
      <c r="F382" s="3"/>
    </row>
    <row r="383" spans="6:6" x14ac:dyDescent="0.75">
      <c r="F383" s="3"/>
    </row>
    <row r="384" spans="6:6" x14ac:dyDescent="0.75">
      <c r="F384" s="3"/>
    </row>
    <row r="385" spans="6:6" x14ac:dyDescent="0.75">
      <c r="F385" s="3"/>
    </row>
    <row r="386" spans="6:6" x14ac:dyDescent="0.75">
      <c r="F386" s="3"/>
    </row>
    <row r="387" spans="6:6" x14ac:dyDescent="0.75">
      <c r="F387" s="3"/>
    </row>
    <row r="388" spans="6:6" x14ac:dyDescent="0.75">
      <c r="F388" s="3"/>
    </row>
    <row r="389" spans="6:6" x14ac:dyDescent="0.75">
      <c r="F389" s="3"/>
    </row>
    <row r="390" spans="6:6" x14ac:dyDescent="0.75">
      <c r="F390" s="3"/>
    </row>
    <row r="391" spans="6:6" x14ac:dyDescent="0.75">
      <c r="F391" s="3"/>
    </row>
    <row r="392" spans="6:6" x14ac:dyDescent="0.75">
      <c r="F392" s="3"/>
    </row>
    <row r="393" spans="6:6" x14ac:dyDescent="0.75">
      <c r="F393" s="3"/>
    </row>
    <row r="394" spans="6:6" x14ac:dyDescent="0.75">
      <c r="F394" s="3"/>
    </row>
    <row r="395" spans="6:6" x14ac:dyDescent="0.75">
      <c r="F395" s="3"/>
    </row>
    <row r="396" spans="6:6" x14ac:dyDescent="0.75">
      <c r="F396" s="3"/>
    </row>
    <row r="397" spans="6:6" x14ac:dyDescent="0.75">
      <c r="F397" s="3"/>
    </row>
    <row r="398" spans="6:6" x14ac:dyDescent="0.75">
      <c r="F398" s="3"/>
    </row>
    <row r="399" spans="6:6" x14ac:dyDescent="0.75">
      <c r="F399" s="3"/>
    </row>
    <row r="400" spans="6:6" x14ac:dyDescent="0.75">
      <c r="F400" s="3"/>
    </row>
    <row r="401" spans="6:6" x14ac:dyDescent="0.75">
      <c r="F401" s="3"/>
    </row>
    <row r="402" spans="6:6" x14ac:dyDescent="0.75">
      <c r="F402" s="3"/>
    </row>
    <row r="403" spans="6:6" x14ac:dyDescent="0.75">
      <c r="F403" s="3"/>
    </row>
    <row r="404" spans="6:6" x14ac:dyDescent="0.75">
      <c r="F404" s="3"/>
    </row>
    <row r="405" spans="6:6" x14ac:dyDescent="0.75">
      <c r="F405" s="3"/>
    </row>
    <row r="406" spans="6:6" x14ac:dyDescent="0.75">
      <c r="F406" s="3"/>
    </row>
    <row r="407" spans="6:6" x14ac:dyDescent="0.75">
      <c r="F407" s="3"/>
    </row>
    <row r="408" spans="6:6" x14ac:dyDescent="0.75">
      <c r="F408" s="3"/>
    </row>
    <row r="409" spans="6:6" x14ac:dyDescent="0.75">
      <c r="F409" s="3"/>
    </row>
    <row r="410" spans="6:6" x14ac:dyDescent="0.75">
      <c r="F410" s="3"/>
    </row>
    <row r="411" spans="6:6" x14ac:dyDescent="0.75">
      <c r="F411" s="3"/>
    </row>
    <row r="412" spans="6:6" x14ac:dyDescent="0.75">
      <c r="F412" s="3"/>
    </row>
    <row r="413" spans="6:6" x14ac:dyDescent="0.75">
      <c r="F413" s="3"/>
    </row>
    <row r="414" spans="6:6" x14ac:dyDescent="0.75">
      <c r="F414" s="3"/>
    </row>
    <row r="415" spans="6:6" x14ac:dyDescent="0.75">
      <c r="F415" s="3"/>
    </row>
    <row r="416" spans="6:6" x14ac:dyDescent="0.75">
      <c r="F416" s="3"/>
    </row>
    <row r="417" spans="6:6" x14ac:dyDescent="0.75">
      <c r="F417" s="3"/>
    </row>
    <row r="418" spans="6:6" x14ac:dyDescent="0.75">
      <c r="F418" s="3"/>
    </row>
    <row r="419" spans="6:6" x14ac:dyDescent="0.75">
      <c r="F419" s="3"/>
    </row>
    <row r="420" spans="6:6" x14ac:dyDescent="0.75">
      <c r="F420" s="3"/>
    </row>
    <row r="421" spans="6:6" x14ac:dyDescent="0.75">
      <c r="F421" s="3"/>
    </row>
    <row r="422" spans="6:6" x14ac:dyDescent="0.75">
      <c r="F422" s="3"/>
    </row>
    <row r="423" spans="6:6" x14ac:dyDescent="0.75">
      <c r="F423" s="3"/>
    </row>
    <row r="424" spans="6:6" x14ac:dyDescent="0.75">
      <c r="F424" s="3"/>
    </row>
    <row r="425" spans="6:6" x14ac:dyDescent="0.75">
      <c r="F425" s="3"/>
    </row>
    <row r="426" spans="6:6" x14ac:dyDescent="0.75">
      <c r="F426" s="3"/>
    </row>
    <row r="427" spans="6:6" x14ac:dyDescent="0.75">
      <c r="F427" s="3"/>
    </row>
    <row r="428" spans="6:6" x14ac:dyDescent="0.75">
      <c r="F428" s="3"/>
    </row>
    <row r="429" spans="6:6" x14ac:dyDescent="0.75">
      <c r="F429" s="3"/>
    </row>
    <row r="430" spans="6:6" x14ac:dyDescent="0.75">
      <c r="F430" s="3"/>
    </row>
    <row r="431" spans="6:6" x14ac:dyDescent="0.75">
      <c r="F431" s="3"/>
    </row>
    <row r="432" spans="6:6" x14ac:dyDescent="0.75">
      <c r="F432" s="3"/>
    </row>
    <row r="433" spans="6:6" x14ac:dyDescent="0.75">
      <c r="F433" s="3"/>
    </row>
    <row r="434" spans="6:6" x14ac:dyDescent="0.75">
      <c r="F434" s="3"/>
    </row>
    <row r="435" spans="6:6" x14ac:dyDescent="0.75">
      <c r="F435" s="3"/>
    </row>
    <row r="436" spans="6:6" x14ac:dyDescent="0.75">
      <c r="F436" s="3"/>
    </row>
    <row r="437" spans="6:6" x14ac:dyDescent="0.75">
      <c r="F437" s="3"/>
    </row>
    <row r="438" spans="6:6" x14ac:dyDescent="0.75">
      <c r="F438" s="3"/>
    </row>
    <row r="439" spans="6:6" x14ac:dyDescent="0.75">
      <c r="F439" s="3"/>
    </row>
    <row r="440" spans="6:6" x14ac:dyDescent="0.75">
      <c r="F440" s="3"/>
    </row>
    <row r="441" spans="6:6" x14ac:dyDescent="0.75">
      <c r="F441" s="3"/>
    </row>
    <row r="442" spans="6:6" x14ac:dyDescent="0.75">
      <c r="F442" s="3"/>
    </row>
    <row r="443" spans="6:6" x14ac:dyDescent="0.75">
      <c r="F443" s="3"/>
    </row>
    <row r="444" spans="6:6" x14ac:dyDescent="0.75">
      <c r="F444" s="3"/>
    </row>
    <row r="445" spans="6:6" x14ac:dyDescent="0.75">
      <c r="F445" s="3"/>
    </row>
    <row r="446" spans="6:6" x14ac:dyDescent="0.75">
      <c r="F446" s="3"/>
    </row>
    <row r="447" spans="6:6" x14ac:dyDescent="0.75">
      <c r="F447" s="3"/>
    </row>
    <row r="448" spans="6:6" x14ac:dyDescent="0.75">
      <c r="F448" s="3"/>
    </row>
    <row r="449" spans="6:6" x14ac:dyDescent="0.75">
      <c r="F449" s="3"/>
    </row>
    <row r="450" spans="6:6" x14ac:dyDescent="0.75">
      <c r="F450" s="3"/>
    </row>
    <row r="451" spans="6:6" x14ac:dyDescent="0.75">
      <c r="F451" s="3"/>
    </row>
    <row r="452" spans="6:6" x14ac:dyDescent="0.75">
      <c r="F452" s="3"/>
    </row>
    <row r="453" spans="6:6" x14ac:dyDescent="0.75">
      <c r="F453" s="3"/>
    </row>
    <row r="454" spans="6:6" x14ac:dyDescent="0.75">
      <c r="F454" s="3"/>
    </row>
    <row r="455" spans="6:6" x14ac:dyDescent="0.75">
      <c r="F455" s="3"/>
    </row>
    <row r="456" spans="6:6" x14ac:dyDescent="0.75">
      <c r="F456" s="3"/>
    </row>
    <row r="457" spans="6:6" x14ac:dyDescent="0.75">
      <c r="F457" s="3"/>
    </row>
    <row r="458" spans="6:6" x14ac:dyDescent="0.75">
      <c r="F458" s="3"/>
    </row>
  </sheetData>
  <autoFilter ref="A1:F234" xr:uid="{4F7B8B36-78BD-4E82-9277-287EC796251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86CD7-051D-4087-844E-411727D87504}">
  <sheetPr codeName="Sheet5"/>
  <dimension ref="A1:F235"/>
  <sheetViews>
    <sheetView topLeftCell="A6" workbookViewId="0">
      <selection activeCell="A236" sqref="A236:XFD247"/>
    </sheetView>
  </sheetViews>
  <sheetFormatPr defaultRowHeight="14.75" x14ac:dyDescent="0.75"/>
  <cols>
    <col min="3" max="3" width="39.36328125" customWidth="1"/>
    <col min="5" max="5" width="54.40625" customWidth="1"/>
    <col min="6" max="6" width="27.6796875" customWidth="1"/>
  </cols>
  <sheetData>
    <row r="1" spans="1:6" x14ac:dyDescent="0.75">
      <c r="B1">
        <v>5</v>
      </c>
      <c r="C1" t="s">
        <v>227</v>
      </c>
    </row>
    <row r="2" spans="1:6" x14ac:dyDescent="0.75">
      <c r="A2">
        <v>1</v>
      </c>
      <c r="B2" t="str" cm="1">
        <f t="array" ref="B2">INDEX(Albums!C:C,$A2,1)</f>
        <v>GA-025</v>
      </c>
      <c r="C2" t="str" cm="1">
        <f t="array" ref="C2">INDEX(Albums!D:D,$A2,1)</f>
        <v>https://vgmdb.net/album/135059</v>
      </c>
      <c r="D2">
        <f t="shared" ref="D2:D10" si="0">FIND(B2,F2)</f>
        <v>62</v>
      </c>
      <c r="E2" t="str" cm="1">
        <f t="array" ref="E2">"J:\GitHub\VGMdb\VGMdb_"&amp;INDEX(Albums!C:C,A2,1)&amp;"_Source.html"</f>
        <v>J:\GitHub\VGMdb\VGMdb_GA-025_Source.html</v>
      </c>
      <c r="F2" s="3" t="str" cm="1">
        <f t="array" ref="F2">ReadLineRange(E2,5,5)</f>
        <v xml:space="preserve">&lt;title&gt;(Chou) Kuse ni Narisouâ™¡ Nagisa Shiratori ON STAGE | GA-025 - VGMdb&lt;/title&gt;_x000D_
</v>
      </c>
    </row>
    <row r="3" spans="1:6" x14ac:dyDescent="0.75">
      <c r="A3">
        <f t="shared" ref="A3:A10" si="1">A2+1</f>
        <v>2</v>
      </c>
      <c r="B3" t="str" cm="1">
        <f t="array" ref="B3">INDEX(Albums!C:C,$A3,1)</f>
        <v>KICA-23</v>
      </c>
      <c r="C3" t="str" cm="1">
        <f t="array" ref="C3">INDEX(Albums!D:D,$A3,1)</f>
        <v>https://vgmdb.net/album/42415</v>
      </c>
      <c r="D3">
        <f t="shared" si="0"/>
        <v>34</v>
      </c>
      <c r="E3" t="str" cm="1">
        <f t="array" ref="E3">"J:\GitHub\VGMdb\VGMdb_"&amp;INDEX(Albums!C:C,A3,1)&amp;"_Source.html"</f>
        <v>J:\GitHub\VGMdb\VGMdb_KICA-23_Source.html</v>
      </c>
      <c r="F3" s="3" t="str" cm="1">
        <f t="array" ref="F3">ReadLineRange(E3,5,5)</f>
        <v xml:space="preserve">&lt;title&gt;3Ã—3 EYES ~Ten no Maki~ | KICA-23 - VGMdb&lt;/title&gt;_x000D_
</v>
      </c>
    </row>
    <row r="4" spans="1:6" x14ac:dyDescent="0.75">
      <c r="A4">
        <f t="shared" si="1"/>
        <v>3</v>
      </c>
      <c r="B4" t="str" cm="1">
        <f t="array" ref="B4">INDEX(Albums!C:C,$A4,1)</f>
        <v>KICA-71</v>
      </c>
      <c r="C4" t="str" cm="1">
        <f t="array" ref="C4">INDEX(Albums!D:D,$A4,1)</f>
        <v>https://vgmdb.net/album/63864</v>
      </c>
      <c r="D4">
        <f t="shared" si="0"/>
        <v>29</v>
      </c>
      <c r="E4" t="str" cm="1">
        <f t="array" ref="E4">"J:\GitHub\VGMdb\VGMdb_"&amp;INDEX(Albums!C:C,A4,1)&amp;"_Source.html"</f>
        <v>J:\GitHub\VGMdb\VGMdb_KICA-71_Source.html</v>
      </c>
      <c r="F4" s="3" t="str" cm="1">
        <f t="array" ref="F4">ReadLineRange(E4,5,5)</f>
        <v xml:space="preserve">&lt;title&gt;3x3 EYES Chapter 2 | KICA-71 - VGMdb&lt;/title&gt;_x000D_
</v>
      </c>
    </row>
    <row r="5" spans="1:6" x14ac:dyDescent="0.75">
      <c r="A5">
        <f t="shared" si="1"/>
        <v>4</v>
      </c>
      <c r="B5" t="str" cm="1">
        <f t="array" ref="B5">INDEX(Albums!C:C,$A5,1)</f>
        <v>VICL-129</v>
      </c>
      <c r="C5" t="str" cm="1">
        <f t="array" ref="C5">INDEX(Albums!D:D,$A5,1)</f>
        <v>https://vgmdb.net/album/46791</v>
      </c>
      <c r="D5">
        <f t="shared" si="0"/>
        <v>66</v>
      </c>
      <c r="E5" t="str" cm="1">
        <f t="array" ref="E5">"J:\GitHub\VGMdb\VGMdb_"&amp;INDEX(Albums!C:C,A5,1)&amp;"_Source.html"</f>
        <v>J:\GitHub\VGMdb\VGMdb_VICL-129_Source.html</v>
      </c>
      <c r="F5" s="3" t="str" cm="1">
        <f t="array" ref="F5">ReadLineRange(E5,5,5)</f>
        <v xml:space="preserve">&lt;title&gt;20 Mensou ni Onegai!! Koi hodo Suteki na Musical wa Nai | VICL-129 - VGMdb&lt;/title&gt;_x000D_
</v>
      </c>
    </row>
    <row r="6" spans="1:6" x14ac:dyDescent="0.75">
      <c r="A6">
        <f t="shared" si="1"/>
        <v>5</v>
      </c>
      <c r="B6" t="str" cm="1">
        <f t="array" ref="B6">INDEX(Albums!C:C,$A6,1)</f>
        <v>PCCG-00201</v>
      </c>
      <c r="C6" t="str" cm="1">
        <f t="array" ref="C6">INDEX(Albums!D:D,$A6,1)</f>
        <v>https://vgmdb.net/album/59406</v>
      </c>
      <c r="D6">
        <f t="shared" si="0"/>
        <v>32</v>
      </c>
      <c r="E6" t="str" cm="1">
        <f t="array" ref="E6">"J:\GitHub\VGMdb\VGMdb_"&amp;INDEX(Albums!C:C,A6,1)&amp;"_Source.html"</f>
        <v>J:\GitHub\VGMdb\VGMdb_PCCG-00201_Source.html</v>
      </c>
      <c r="F6" s="3" t="str" cm="1">
        <f t="array" ref="F6">ReadLineRange(E6,5,5)</f>
        <v xml:space="preserve">&lt;title&gt;Aa Megamisama Singles | PCCG-00201 - VGMdb&lt;/title&gt;_x000D_
</v>
      </c>
    </row>
    <row r="7" spans="1:6" x14ac:dyDescent="0.75">
      <c r="A7">
        <f t="shared" si="1"/>
        <v>6</v>
      </c>
      <c r="B7" t="str" cm="1">
        <f t="array" ref="B7">INDEX(Albums!C:C,$A7,1)</f>
        <v>PCCG-00258</v>
      </c>
      <c r="C7" t="str" cm="1">
        <f t="array" ref="C7">INDEX(Albums!D:D,$A7,1)</f>
        <v>https://vgmdb.net/album/49777</v>
      </c>
      <c r="D7">
        <f t="shared" si="0"/>
        <v>57</v>
      </c>
      <c r="E7" t="str" cm="1">
        <f t="array" ref="E7">"J:\GitHub\VGMdb\VGMdb_"&amp;INDEX(Albums!C:C,A7,1)&amp;"_Source.html"</f>
        <v>J:\GitHub\VGMdb\VGMdb_PCCG-00258_Source.html</v>
      </c>
      <c r="F7" s="3" t="str" cm="1">
        <f t="array" ref="F7">ReadLineRange(E7,5,5)</f>
        <v xml:space="preserve">&lt;title&gt;Ah! My Goddess Original Soundtrack Vol.2 Super | PCCG-00258 - VGMdb&lt;/title&gt;_x000D_
</v>
      </c>
    </row>
    <row r="8" spans="1:6" x14ac:dyDescent="0.75">
      <c r="A8">
        <f t="shared" si="1"/>
        <v>7</v>
      </c>
      <c r="B8" t="str" cm="1">
        <f t="array" ref="B8">INDEX(Albums!C:C,$A8,1)</f>
        <v>PCCG-00246</v>
      </c>
      <c r="C8" t="str" cm="1">
        <f t="array" ref="C8">INDEX(Albums!D:D,$A8,1)</f>
        <v>https://vgmdb.net/album/59491</v>
      </c>
      <c r="D8">
        <f t="shared" si="0"/>
        <v>54</v>
      </c>
      <c r="E8" t="str" cm="1">
        <f t="array" ref="E8">"J:\GitHub\VGMdb\VGMdb_"&amp;INDEX(Albums!C:C,A8,1)&amp;"_Source.html"</f>
        <v>J:\GitHub\VGMdb\VGMdb_PCCG-00246_Source.html</v>
      </c>
      <c r="F8" s="3" t="str" cm="1">
        <f t="array" ref="F8">ReadLineRange(E8,5,5)</f>
        <v xml:space="preserve">&lt;title&gt;Kamisama no Okurimono / GODDESS FAMILY CLUB | PCCG-00246 - VGMdb&lt;/title&gt;_x000D_
</v>
      </c>
    </row>
    <row r="9" spans="1:6" x14ac:dyDescent="0.75">
      <c r="A9">
        <f t="shared" si="1"/>
        <v>8</v>
      </c>
      <c r="B9" t="str" cm="1">
        <f t="array" ref="B9">INDEX(Albums!C:C,$A9,1)</f>
        <v>PCCG-00556</v>
      </c>
      <c r="C9" t="str" cm="1">
        <f t="array" ref="C9">INDEX(Albums!D:D,$A9,1)</f>
        <v>https://vgmdb.net/album/16438</v>
      </c>
      <c r="D9">
        <f t="shared" si="0"/>
        <v>45</v>
      </c>
      <c r="E9" t="str" cm="1">
        <f t="array" ref="E9">"J:\GitHub\VGMdb\VGMdb_"&amp;INDEX(Albums!C:C,A9,1)&amp;"_Source.html"</f>
        <v>J:\GitHub\VGMdb\VGMdb_PCCG-00556_Source.html</v>
      </c>
      <c r="F9" s="3" t="str" cm="1">
        <f t="array" ref="F9">ReadLineRange(E9,5,5)</f>
        <v xml:space="preserve">&lt;title&gt;Ah! My Goddess ORIGINAL SOUNDTRACK | PCCG-00556 - VGMdb&lt;/title&gt;_x000D_
</v>
      </c>
    </row>
    <row r="10" spans="1:6" x14ac:dyDescent="0.75">
      <c r="A10">
        <f t="shared" si="1"/>
        <v>9</v>
      </c>
      <c r="B10" t="str" cm="1">
        <f t="array" ref="B10">INDEX(Albums!C:C,$A10,1)</f>
        <v>5236-2</v>
      </c>
      <c r="C10" t="str" cm="1">
        <f t="array" ref="C10">INDEX(Albums!D:D,$A10,1)</f>
        <v>https://vgmdb.net/album/40100</v>
      </c>
      <c r="D10">
        <f t="shared" si="0"/>
        <v>58</v>
      </c>
      <c r="E10" t="str" cm="1">
        <f t="array" ref="E10">"J:\GitHub\VGMdb\VGMdb_"&amp;INDEX(Albums!C:C,A10,1)&amp;"_Source.html"</f>
        <v>J:\GitHub\VGMdb\VGMdb_5236-2_Source.html</v>
      </c>
      <c r="F10" s="3" t="str" cm="1">
        <f t="array" ref="F10">ReadLineRange(E10,5,5)</f>
        <v xml:space="preserve">&lt;title&gt;Ai Yori Aoshi ~Enishi~ ORIGINAL SOUNDTRACK PINE | 5236-2 - VGMdb&lt;/title&gt;_x000D_
</v>
      </c>
    </row>
    <row r="11" spans="1:6" x14ac:dyDescent="0.75">
      <c r="A11">
        <f t="shared" ref="A11:A74" si="2">A10+1</f>
        <v>10</v>
      </c>
      <c r="B11" t="str" cm="1">
        <f t="array" ref="B11">INDEX(Albums!C:C,$A11,1)</f>
        <v>5211-2</v>
      </c>
      <c r="C11" t="str" cm="1">
        <f t="array" ref="C11">INDEX(Albums!D:D,$A11,1)</f>
        <v>https://vgmdb.net/album/40118</v>
      </c>
      <c r="D11">
        <f t="shared" ref="D11:D74" si="3">FIND(B11,F11)</f>
        <v>44</v>
      </c>
      <c r="E11" t="str" cm="1">
        <f t="array" ref="E11">"J:\GitHub\VGMdb\VGMdb_"&amp;INDEX(Albums!C:C,A11,1)&amp;"_Source.html"</f>
        <v>J:\GitHub\VGMdb\VGMdb_5211-2_Source.html</v>
      </c>
      <c r="F11" s="3" t="str" cm="1">
        <f t="array" ref="F11">ReadLineRange(E11,5,5)</f>
        <v xml:space="preserve">&lt;title&gt;AI YORI AOSHI SOUNDTRACK 1 SAKURA | 5211-2 - VGMdb&lt;/title&gt;_x000D_
</v>
      </c>
    </row>
    <row r="12" spans="1:6" x14ac:dyDescent="0.75">
      <c r="A12">
        <f t="shared" si="2"/>
        <v>11</v>
      </c>
      <c r="B12" t="str" cm="1">
        <f t="array" ref="B12">INDEX(Albums!C:C,$A12,1)</f>
        <v>KICA-192</v>
      </c>
      <c r="C12" t="str" cm="1">
        <f t="array" ref="C12">INDEX(Albums!D:D,$A12,1)</f>
        <v>https://vgmdb.net/album/40516</v>
      </c>
      <c r="D12">
        <f t="shared" si="3"/>
        <v>52</v>
      </c>
      <c r="E12" t="str" cm="1">
        <f t="array" ref="E12">"J:\GitHub\VGMdb\VGMdb_"&amp;INDEX(Albums!C:C,A12,1)&amp;"_Source.html"</f>
        <v>J:\GitHub\VGMdb\VGMdb_KICA-192_Source.html</v>
      </c>
      <c r="F12" s="3" t="str" cm="1">
        <f t="array" ref="F12">ReadLineRange(E12,5,5)</f>
        <v xml:space="preserve">&lt;title&gt;Akazukin Chacha Saint Magical Revue Vol.1 | KICA-192 - VGMdb&lt;/title&gt;_x000D_
</v>
      </c>
    </row>
    <row r="13" spans="1:6" x14ac:dyDescent="0.75">
      <c r="A13">
        <f t="shared" si="2"/>
        <v>12</v>
      </c>
      <c r="B13" t="str" cm="1">
        <f t="array" ref="B13">INDEX(Albums!C:C,$A13,1)</f>
        <v>KICA-216</v>
      </c>
      <c r="C13" t="str" cm="1">
        <f t="array" ref="C13">INDEX(Albums!D:D,$A13,1)</f>
        <v>https://vgmdb.net/album/70500</v>
      </c>
      <c r="D13">
        <f t="shared" si="3"/>
        <v>52</v>
      </c>
      <c r="E13" t="str" cm="1">
        <f t="array" ref="E13">"J:\GitHub\VGMdb\VGMdb_"&amp;INDEX(Albums!C:C,A13,1)&amp;"_Source.html"</f>
        <v>J:\GitHub\VGMdb\VGMdb_KICA-216_Source.html</v>
      </c>
      <c r="F13" s="3" t="str" cm="1">
        <f t="array" ref="F13">ReadLineRange(E13,5,5)</f>
        <v xml:space="preserve">&lt;title&gt;Akazukin Chacha Saint Magical Revue Vol.2 | KICA-216 - VGMdb&lt;/title&gt;_x000D_
</v>
      </c>
    </row>
    <row r="14" spans="1:6" x14ac:dyDescent="0.75">
      <c r="A14">
        <f t="shared" si="2"/>
        <v>13</v>
      </c>
      <c r="B14" t="str" cm="1">
        <f t="array" ref="B14">INDEX(Albums!C:C,$A14,1)</f>
        <v>KICA-224</v>
      </c>
      <c r="C14" t="str" cm="1">
        <f t="array" ref="C14">INDEX(Albums!D:D,$A14,1)</f>
        <v>https://vgmdb.net/album/70501</v>
      </c>
      <c r="D14">
        <f t="shared" si="3"/>
        <v>52</v>
      </c>
      <c r="E14" t="str" cm="1">
        <f t="array" ref="E14">"J:\GitHub\VGMdb\VGMdb_"&amp;INDEX(Albums!C:C,A14,1)&amp;"_Source.html"</f>
        <v>J:\GitHub\VGMdb\VGMdb_KICA-224_Source.html</v>
      </c>
      <c r="F14" s="3" t="str" cm="1">
        <f t="array" ref="F14">ReadLineRange(E14,5,5)</f>
        <v xml:space="preserve">&lt;title&gt;Akazukin Chacha Saint Magical Revue Vol.3 | KICA-224 - VGMdb&lt;/title&gt;_x000D_
</v>
      </c>
    </row>
    <row r="15" spans="1:6" x14ac:dyDescent="0.75">
      <c r="A15">
        <f t="shared" si="2"/>
        <v>14</v>
      </c>
      <c r="B15" t="str" cm="1">
        <f t="array" ref="B15">INDEX(Albums!C:C,$A15,1)</f>
        <v>ALCA-8148</v>
      </c>
      <c r="C15" t="str" cm="1">
        <f t="array" ref="C15">INDEX(Albums!D:D,$A15,1)</f>
        <v>https://vgmdb.net/album/81439</v>
      </c>
      <c r="D15">
        <f t="shared" si="3"/>
        <v>36</v>
      </c>
      <c r="E15" t="str" cm="1">
        <f t="array" ref="E15">"J:\GitHub\VGMdb\VGMdb_"&amp;INDEX(Albums!C:C,A15,1)&amp;"_Source.html"</f>
        <v>J:\GitHub\VGMdb\VGMdb_ALCA-8148_Source.html</v>
      </c>
      <c r="F15" s="3" t="str" cm="1">
        <f t="array" ref="F15">ReadLineRange(E15,5,5)</f>
        <v xml:space="preserve">&lt;title&gt;TRIBUTE TO AZUMANGA-DAIOH | ALCA-8148 - VGMdb&lt;/title&gt;_x000D_
</v>
      </c>
    </row>
    <row r="16" spans="1:6" x14ac:dyDescent="0.75">
      <c r="A16">
        <f t="shared" si="2"/>
        <v>15</v>
      </c>
      <c r="B16" t="str" cm="1">
        <f t="array" ref="B16">INDEX(Albums!C:C,$A16,1)</f>
        <v>ALCA-8113</v>
      </c>
      <c r="C16" t="str" cm="1">
        <f t="array" ref="C16">INDEX(Albums!D:D,$A16,1)</f>
        <v>https://vgmdb.net/album/41799 (LACA-5145)</v>
      </c>
      <c r="D16" t="e">
        <f t="shared" si="3"/>
        <v>#VALUE!</v>
      </c>
      <c r="E16" t="str" cm="1">
        <f t="array" ref="E16">"J:\GitHub\VGMdb\VGMdb_"&amp;INDEX(Albums!C:C,A16,1)&amp;"_Source.html"</f>
        <v>J:\GitHub\VGMdb\VGMdb_ALCA-8113_Source.html</v>
      </c>
      <c r="F16" s="3" t="str" cm="1">
        <f t="array" ref="F16">ReadLineRange(E16,5,5)</f>
        <v xml:space="preserve">&lt;title&gt;Azumanga Daioh Vocal Collection Utaimasho | LACA-5145 - VGMdb&lt;/title&gt;_x000D_
</v>
      </c>
    </row>
    <row r="17" spans="1:6" x14ac:dyDescent="0.75">
      <c r="A17">
        <f t="shared" si="2"/>
        <v>16</v>
      </c>
      <c r="B17" t="str" cm="1">
        <f t="array" ref="B17">INDEX(Albums!C:C,$A17,1)</f>
        <v>5345-2</v>
      </c>
      <c r="C17" t="str" cm="1">
        <f t="array" ref="C17">INDEX(Albums!D:D,$A17,1)</f>
        <v>https://vgmdb.net/album/29619</v>
      </c>
      <c r="D17">
        <f t="shared" si="3"/>
        <v>48</v>
      </c>
      <c r="E17" t="str" cm="1">
        <f t="array" ref="E17">"J:\GitHub\VGMdb\VGMdb_"&amp;INDEX(Albums!C:C,A17,1)&amp;"_Source.html"</f>
        <v>J:\GitHub\VGMdb\VGMdb_5345-2_Source.html</v>
      </c>
      <c r="F17" s="3" t="str" cm="1">
        <f t="array" ref="F17">ReadLineRange(E17,5,5)</f>
        <v xml:space="preserve">&lt;title&gt;four seasons Bottle Fairy Image Album | 5345-2 - VGMdb&lt;/title&gt;_x000D_
</v>
      </c>
    </row>
    <row r="18" spans="1:6" x14ac:dyDescent="0.75">
      <c r="A18">
        <f t="shared" si="2"/>
        <v>17</v>
      </c>
      <c r="B18" t="str" cm="1">
        <f t="array" ref="B18">INDEX(Albums!C:C,$A18,1)</f>
        <v>GGG-238</v>
      </c>
      <c r="C18" t="str" cm="1">
        <f t="array" ref="C18">INDEX(Albums!D:D,$A18,1)</f>
        <v>https://vgmdb.net/album/54716</v>
      </c>
      <c r="D18">
        <f t="shared" si="3"/>
        <v>54</v>
      </c>
      <c r="E18" t="str" cm="1">
        <f t="array" ref="E18">"J:\GitHub\VGMdb\VGMdb_"&amp;INDEX(Albums!C:C,A18,1)&amp;"_Source.html"</f>
        <v>J:\GitHub\VGMdb\VGMdb_GGG-238_Source.html</v>
      </c>
      <c r="F18" s="3" t="str" cm="1">
        <f t="array" ref="F18">ReadLineRange(E18,5,5)</f>
        <v xml:space="preserve">&lt;title&gt;Cardcaptor Sakura Movie Original Soundtrack | GGG-238 - VGMdb&lt;/title&gt;_x000D_
</v>
      </c>
    </row>
    <row r="19" spans="1:6" x14ac:dyDescent="0.75">
      <c r="A19">
        <f t="shared" si="2"/>
        <v>18</v>
      </c>
      <c r="B19" t="str" cm="1">
        <f t="array" ref="B19">INDEX(Albums!C:C,$A19,1)</f>
        <v>VICL-35153</v>
      </c>
      <c r="C19" t="str" cm="1">
        <f t="array" ref="C19">INDEX(Albums!D:D,$A19,1)</f>
        <v>https://vgmdb.net/album/36655</v>
      </c>
      <c r="D19">
        <f t="shared" si="3"/>
        <v>39</v>
      </c>
      <c r="E19" t="str" cm="1">
        <f t="array" ref="E19">"J:\GitHub\VGMdb\VGMdb_"&amp;INDEX(Albums!C:C,A19,1)&amp;"_Source.html"</f>
        <v>J:\GitHub\VGMdb\VGMdb_VICL-35153_Source.html</v>
      </c>
      <c r="F19" s="3" t="str" cm="1">
        <f t="array" ref="F19">ReadLineRange(E19,5,5)</f>
        <v xml:space="preserve">&lt;title&gt;Okashi no Uta / Aya Hisakawa | VICL-35153 - VGMdb&lt;/title&gt;_x000D_
</v>
      </c>
    </row>
    <row r="20" spans="1:6" x14ac:dyDescent="0.75">
      <c r="A20">
        <f t="shared" si="2"/>
        <v>19</v>
      </c>
      <c r="B20" t="str" cm="1">
        <f t="array" ref="B20">INDEX(Albums!C:C,$A20,1)</f>
        <v>GGG-220</v>
      </c>
      <c r="C20" t="str" cm="1">
        <f t="array" ref="C20">INDEX(Albums!D:D,$A20,1)</f>
        <v>https://vgmdb.net/album/54712</v>
      </c>
      <c r="D20">
        <f t="shared" si="3"/>
        <v>50</v>
      </c>
      <c r="E20" t="str" cm="1">
        <f t="array" ref="E20">"J:\GitHub\VGMdb\VGMdb_"&amp;INDEX(Albums!C:C,A20,1)&amp;"_Source.html"</f>
        <v>J:\GitHub\VGMdb\VGMdb_GGG-220_Source.html</v>
      </c>
      <c r="F20" s="3" t="str" cm="1">
        <f t="array" ref="F20">ReadLineRange(E20,5,5)</f>
        <v xml:space="preserve">&lt;title&gt;Cardcaptor Sakura Original Soundtrack 3 | GGG-220 - VGMdb&lt;/title&gt;_x000D_
</v>
      </c>
    </row>
    <row r="21" spans="1:6" x14ac:dyDescent="0.75">
      <c r="A21">
        <f t="shared" si="2"/>
        <v>20</v>
      </c>
      <c r="B21" t="str" cm="1">
        <f t="array" ref="B21">INDEX(Albums!C:C,$A21,1)</f>
        <v>GGG-287</v>
      </c>
      <c r="C21" t="str" cm="1">
        <f t="array" ref="C21">INDEX(Albums!D:D,$A21,1)</f>
        <v>https://vgmdb.net/album/54714</v>
      </c>
      <c r="D21">
        <f t="shared" si="3"/>
        <v>50</v>
      </c>
      <c r="E21" t="str" cm="1">
        <f t="array" ref="E21">"J:\GitHub\VGMdb\VGMdb_"&amp;INDEX(Albums!C:C,A21,1)&amp;"_Source.html"</f>
        <v>J:\GitHub\VGMdb\VGMdb_GGG-287_Source.html</v>
      </c>
      <c r="F21" s="3" t="str" cm="1">
        <f t="array" ref="F21">ReadLineRange(E21,5,5)</f>
        <v xml:space="preserve">&lt;title&gt;Cardcaptor Sakura Original Soundtrack 4 | GGG-287 - VGMdb&lt;/title&gt;_x000D_
</v>
      </c>
    </row>
    <row r="22" spans="1:6" x14ac:dyDescent="0.75">
      <c r="A22">
        <f t="shared" si="2"/>
        <v>21</v>
      </c>
      <c r="B22" t="str" cm="1">
        <f t="array" ref="B22">INDEX(Albums!C:C,$A22,1)</f>
        <v>GGG-255</v>
      </c>
      <c r="C22" t="str" cm="1">
        <f t="array" ref="C22">INDEX(Albums!D:D,$A22,1)</f>
        <v>https://vgmdb.net/album/54724</v>
      </c>
      <c r="D22">
        <f t="shared" si="3"/>
        <v>49</v>
      </c>
      <c r="E22" t="str" cm="1">
        <f t="array" ref="E22">"J:\GitHub\VGMdb\VGMdb_"&amp;INDEX(Albums!C:C,A22,1)&amp;"_Source.html"</f>
        <v>J:\GitHub\VGMdb\VGMdb_GGG-255_Source.html</v>
      </c>
      <c r="F22" s="3" t="str" cm="1">
        <f t="array" ref="F22">ReadLineRange(E22,5,5)</f>
        <v xml:space="preserve">&lt;title&gt;Cardcaptor Sakura: THE BEST COLLECTION | GGG-255 - VGMdb&lt;/title&gt;_x000D_
</v>
      </c>
    </row>
    <row r="23" spans="1:6" x14ac:dyDescent="0.75">
      <c r="A23">
        <f t="shared" si="2"/>
        <v>22</v>
      </c>
      <c r="B23" t="str" cm="1">
        <f t="array" ref="B23">INDEX(Albums!C:C,$A23,1)</f>
        <v>GGG-260</v>
      </c>
      <c r="C23" t="str" cm="1">
        <f t="array" ref="C23">INDEX(Albums!D:D,$A23,1)</f>
        <v>https://vgmdb.net/album/54721</v>
      </c>
      <c r="D23">
        <f t="shared" si="3"/>
        <v>75</v>
      </c>
      <c r="E23" t="str" cm="1">
        <f t="array" ref="E23">"J:\GitHub\VGMdb\VGMdb_"&amp;INDEX(Albums!C:C,A23,1)&amp;"_Source.html"</f>
        <v>J:\GitHub\VGMdb\VGMdb_GGG-260_Source.html</v>
      </c>
      <c r="F23" s="3" t="str" cm="1">
        <f t="array" ref="F23">ReadLineRange(E23,5,5)</f>
        <v xml:space="preserve">&lt;title&gt;Cardcaptor Sakura Tomoeda Shougakkou Chorus-bu Christmas Concert | GGG-260 - VGMdb&lt;/title&gt;_x000D_
</v>
      </c>
    </row>
    <row r="24" spans="1:6" x14ac:dyDescent="0.75">
      <c r="A24">
        <f t="shared" si="2"/>
        <v>23</v>
      </c>
      <c r="B24" t="str" cm="1">
        <f t="array" ref="B24">INDEX(Albums!C:C,$A24,1)</f>
        <v>5222-2</v>
      </c>
      <c r="C24" t="str" cm="1">
        <f t="array" ref="C24">INDEX(Albums!D:D,$A24,1)</f>
        <v>https://vgmdb.net/album/25069</v>
      </c>
      <c r="D24">
        <f t="shared" si="3"/>
        <v>44</v>
      </c>
      <c r="E24" t="str" cm="1">
        <f t="array" ref="E24">"J:\GitHub\VGMdb\VGMdb_"&amp;INDEX(Albums!C:C,A24,1)&amp;"_Source.html"</f>
        <v>J:\GitHub\VGMdb\VGMdb_5222-2_Source.html</v>
      </c>
      <c r="F24" s="3" t="str" cm="1">
        <f t="array" ref="F24">ReadLineRange(E24,5,5)</f>
        <v xml:space="preserve">&lt;title&gt;Chobits Character Song Collection | 5222-2 - VGMdb&lt;/title&gt;_x000D_
</v>
      </c>
    </row>
    <row r="25" spans="1:6" x14ac:dyDescent="0.75">
      <c r="A25">
        <f t="shared" si="2"/>
        <v>24</v>
      </c>
      <c r="B25" t="str" cm="1">
        <f t="array" ref="B25">INDEX(Albums!C:C,$A25,1)</f>
        <v>FSCA-10087</v>
      </c>
      <c r="C25" t="str" cm="1">
        <f t="array" ref="C25">INDEX(Albums!D:D,$A25,1)</f>
        <v>https://vgmdb.net/album/21301</v>
      </c>
      <c r="D25">
        <f t="shared" si="3"/>
        <v>42</v>
      </c>
      <c r="E25" t="str" cm="1">
        <f t="array" ref="E25">"J:\GitHub\VGMdb\VGMdb_"&amp;INDEX(Albums!C:C,A25,1)&amp;"_Source.html"</f>
        <v>J:\GitHub\VGMdb\VGMdb_FSCA-10087_Source.html</v>
      </c>
      <c r="F25" s="3" t="str" cm="1">
        <f t="array" ref="F25">ReadLineRange(E25,5,5)</f>
        <v xml:space="preserve">&lt;title&gt;D4 Princess Original Soundtrack | FSCA-10087 - VGMdb&lt;/title&gt;_x000D_
</v>
      </c>
    </row>
    <row r="26" spans="1:6" x14ac:dyDescent="0.75">
      <c r="A26">
        <f t="shared" si="2"/>
        <v>25</v>
      </c>
      <c r="B26" t="str" cm="1">
        <f t="array" ref="B26">INDEX(Albums!C:C,$A26,1)</f>
        <v>KICA-521</v>
      </c>
      <c r="C26" t="str" cm="1">
        <f t="array" ref="C26">INDEX(Albums!D:D,$A26,1)</f>
        <v>https://vgmdb.net/album/71036</v>
      </c>
      <c r="D26">
        <f t="shared" si="3"/>
        <v>46</v>
      </c>
      <c r="E26" t="str" cm="1">
        <f t="array" ref="E26">"J:\GitHub\VGMdb\VGMdb_"&amp;INDEX(Albums!C:C,A26,1)&amp;"_Source.html"</f>
        <v>J:\GitHub\VGMdb\VGMdb_KICA-521_Source.html</v>
      </c>
      <c r="F26" s="3" t="str" cm="1">
        <f t="array" ref="F26">ReadLineRange(E26,5,5)</f>
        <v xml:space="preserve">&lt;title&gt;DiGiCharat Dejiko no Sound Festival | KICA-521 - VGMdb&lt;/title&gt;_x000D_
</v>
      </c>
    </row>
    <row r="27" spans="1:6" x14ac:dyDescent="0.75">
      <c r="A27">
        <f t="shared" si="2"/>
        <v>26</v>
      </c>
      <c r="B27" t="str" cm="1">
        <f t="array" ref="B27">INDEX(Albums!C:C,$A27,1)</f>
        <v>KICA-538</v>
      </c>
      <c r="C27" t="str" cm="1">
        <f t="array" ref="C27">INDEX(Albums!D:D,$A27,1)</f>
        <v>https://vgmdb.net/album/58221</v>
      </c>
      <c r="D27">
        <f t="shared" si="3"/>
        <v>46</v>
      </c>
      <c r="E27" t="str" cm="1">
        <f t="array" ref="E27">"J:\GitHub\VGMdb\VGMdb_"&amp;INDEX(Albums!C:C,A27,1)&amp;"_Source.html"</f>
        <v>J:\GitHub\VGMdb\VGMdb_KICA-538_Source.html</v>
      </c>
      <c r="F27" s="3" t="str" cm="1">
        <f t="array" ref="F27">ReadLineRange(E27,5,5)</f>
        <v xml:space="preserve">&lt;title&gt;Di Gi Charat Dejiko no Sound Garden | KICA-538 - VGMdb&lt;/title&gt;_x000D_
</v>
      </c>
    </row>
    <row r="28" spans="1:6" x14ac:dyDescent="0.75">
      <c r="A28">
        <f t="shared" si="2"/>
        <v>27</v>
      </c>
      <c r="B28" t="str" cm="1">
        <f t="array" ref="B28">INDEX(Albums!C:C,$A28,1)</f>
        <v>AVCA-14334</v>
      </c>
      <c r="C28" t="str" cm="1">
        <f t="array" ref="C28">INDEX(Albums!D:D,$A28,1)</f>
        <v>https://vgmdb.net/album/69975</v>
      </c>
      <c r="D28">
        <f t="shared" si="3"/>
        <v>54</v>
      </c>
      <c r="E28" t="str" cm="1">
        <f t="array" ref="E28">"J:\GitHub\VGMdb\VGMdb_"&amp;INDEX(Albums!C:C,A28,1)&amp;"_Source.html"</f>
        <v>J:\GitHub\VGMdb\VGMdb_AVCA-14334_Source.html</v>
      </c>
      <c r="F28" s="3" t="str" cm="1">
        <f t="array" ref="F28">ReadLineRange(E28,5,5)</f>
        <v xml:space="preserve">&lt;title&gt;Panyo Panyo Di Gi Charat Soundtrack da Nyo! | AVCA-14334 - VGMdb&lt;/title&gt;_x000D_
</v>
      </c>
    </row>
    <row r="29" spans="1:6" x14ac:dyDescent="0.75">
      <c r="A29">
        <f t="shared" si="2"/>
        <v>28</v>
      </c>
      <c r="B29" t="str" cm="1">
        <f t="array" ref="B29">INDEX(Albums!C:C,$A29,1)</f>
        <v>GA-050</v>
      </c>
      <c r="C29" t="str" cm="1">
        <f t="array" ref="C29">INDEX(Albums!D:D,$A29,1)</f>
        <v>https://vgmdb.net/album/139974</v>
      </c>
      <c r="D29">
        <f t="shared" si="3"/>
        <v>30</v>
      </c>
      <c r="E29" t="str" cm="1">
        <f t="array" ref="E29">"J:\GitHub\VGMdb\VGMdb_"&amp;INDEX(Albums!C:C,A29,1)&amp;"_Source.html"</f>
        <v>J:\GitHub\VGMdb\VGMdb_GA-050_Source.html</v>
      </c>
      <c r="F29" s="3" t="str" cm="1">
        <f t="array" ref="F29">ReadLineRange(E29,5,5)</f>
        <v xml:space="preserve">&lt;title&gt;Doraemon All Hyakka | GA-050 - VGMdb&lt;/title&gt;_x000D_
</v>
      </c>
    </row>
    <row r="30" spans="1:6" x14ac:dyDescent="0.75">
      <c r="A30">
        <f t="shared" si="2"/>
        <v>29</v>
      </c>
      <c r="B30" t="str" cm="1">
        <f t="array" ref="B30">INDEX(Albums!C:C,$A30,1)</f>
        <v>AVCT-15002</v>
      </c>
      <c r="C30" t="str" cm="1">
        <f t="array" ref="C30">INDEX(Albums!D:D,$A30,1)</f>
        <v>https://vgmdb.net/album/71102</v>
      </c>
      <c r="D30">
        <f t="shared" si="3"/>
        <v>64</v>
      </c>
      <c r="E30" t="str" cm="1">
        <f t="array" ref="E30">"J:\GitHub\VGMdb\VGMdb_"&amp;INDEX(Albums!C:C,A30,1)&amp;"_Source.html"</f>
        <v>J:\GitHub\VGMdb\VGMdb_AVCT-15002_Source.html</v>
      </c>
      <c r="F30" s="3" t="str" cm="1">
        <f t="array" ref="F30">ReadLineRange(E30,5,5)</f>
        <v xml:space="preserve">&lt;title&gt;Dr. Slump: Arale no Bikkuri Burn ORIGINAL SOUNDTRACKS | AVCT-15002 - VGMdb&lt;/title&gt;_x000D_
</v>
      </c>
    </row>
    <row r="31" spans="1:6" x14ac:dyDescent="0.75">
      <c r="A31">
        <f t="shared" si="2"/>
        <v>30</v>
      </c>
      <c r="B31" t="str" cm="1">
        <f t="array" ref="B31">INDEX(Albums!C:C,$A31,1)</f>
        <v>SRCL-4218</v>
      </c>
      <c r="C31" t="str" cm="1">
        <f t="array" ref="C31">INDEX(Albums!D:D,$A31,1)</f>
        <v>https://vgmdb.net/album/68706</v>
      </c>
      <c r="D31">
        <f t="shared" si="3"/>
        <v>40</v>
      </c>
      <c r="E31" t="str" cm="1">
        <f t="array" ref="E31">"J:\GitHub\VGMdb\VGMdb_"&amp;INDEX(Albums!C:C,A31,1)&amp;"_Source.html"</f>
        <v>J:\GitHub\VGMdb\VGMdb_SRCL-4218_Source.html</v>
      </c>
      <c r="F31" s="3" t="str" cm="1">
        <f t="array" ref="F31">ReadLineRange(E31,5,5)</f>
        <v xml:space="preserve">&lt;title&gt;Dr. SLUMP ORIGINAL SOUNDTRACK | SRCL-4218 - VGMdb&lt;/title&gt;_x000D_
</v>
      </c>
    </row>
    <row r="32" spans="1:6" x14ac:dyDescent="0.75">
      <c r="A32">
        <f t="shared" si="2"/>
        <v>31</v>
      </c>
      <c r="B32" t="str" cm="1">
        <f t="array" ref="B32">INDEX(Albums!C:C,$A32,1)</f>
        <v>COCC-9247</v>
      </c>
      <c r="C32" t="str" cm="1">
        <f t="array" ref="C32">INDEX(Albums!D:D,$A32,1)</f>
        <v>https://vgmdb.net/album/32087</v>
      </c>
      <c r="D32">
        <f t="shared" si="3"/>
        <v>56</v>
      </c>
      <c r="E32" t="str" cm="1">
        <f t="array" ref="E32">"J:\GitHub\VGMdb\VGMdb_"&amp;INDEX(Albums!C:C,A32,1)&amp;"_Source.html"</f>
        <v>J:\GitHub\VGMdb\VGMdb_COCC-9247_Source.html</v>
      </c>
      <c r="F32" s="3" t="str" cm="1">
        <f t="array" ref="F32">ReadLineRange(E32,5,5)</f>
        <v xml:space="preserve">&lt;title&gt;DRAGON BALL Z Hit Song Collection 8Â½ SPECIAL | COCC-9247 - VGMdb&lt;/title&gt;_x000D_
</v>
      </c>
    </row>
    <row r="33" spans="1:6" x14ac:dyDescent="0.75">
      <c r="A33">
        <f t="shared" si="2"/>
        <v>32</v>
      </c>
      <c r="B33" t="str" cm="1">
        <f t="array" ref="B33">INDEX(Albums!C:C,$A33,1)</f>
        <v>COCC-9743</v>
      </c>
      <c r="C33" t="str" cm="1">
        <f t="array" ref="C33">INDEX(Albums!D:D,$A33,1)</f>
        <v>https://vgmdb.net/album/32145</v>
      </c>
      <c r="D33">
        <f t="shared" si="3"/>
        <v>64</v>
      </c>
      <c r="E33" t="str" cm="1">
        <f t="array" ref="E33">"J:\GitHub\VGMdb\VGMdb_"&amp;INDEX(Albums!C:C,A33,1)&amp;"_Source.html"</f>
        <v>J:\GitHub\VGMdb\VGMdb_COCC-9743_Source.html</v>
      </c>
      <c r="F33" s="3" t="str" cm="1">
        <f t="array" ref="F33">ReadLineRange(E33,5,5)</f>
        <v xml:space="preserve">&lt;title&gt;DRAGON BALL Z Hit Song Collection 10 VIRTUAL TRIANGLE | COCC-9743 - VGMdb&lt;/title&gt;_x000D_
</v>
      </c>
    </row>
    <row r="34" spans="1:6" x14ac:dyDescent="0.75">
      <c r="A34">
        <f t="shared" si="2"/>
        <v>33</v>
      </c>
      <c r="B34" t="str" cm="1">
        <f t="array" ref="B34">INDEX(Albums!C:C,$A34,1)</f>
        <v>COCC-10702</v>
      </c>
      <c r="C34" t="str" cm="1">
        <f t="array" ref="C34">INDEX(Albums!D:D,$A34,1)</f>
        <v>https://vgmdb.net/album/58936</v>
      </c>
      <c r="D34">
        <f t="shared" si="3"/>
        <v>58</v>
      </c>
      <c r="E34" t="str" cm="1">
        <f t="array" ref="E34">"J:\GitHub\VGMdb\VGMdb_"&amp;INDEX(Albums!C:C,A34,1)&amp;"_Source.html"</f>
        <v>J:\GitHub\VGMdb\VGMdb_COCC-10702_Source.html</v>
      </c>
      <c r="F34" s="3" t="str" cm="1">
        <f t="array" ref="F34">ReadLineRange(E34,5,5)</f>
        <v xml:space="preserve">&lt;title&gt;DRAGON BALL Z Hit Song Collection 14 -Straight- | COCC-10702 - VGMdb&lt;/title&gt;_x000D_
</v>
      </c>
    </row>
    <row r="35" spans="1:6" x14ac:dyDescent="0.75">
      <c r="A35">
        <f t="shared" si="2"/>
        <v>34</v>
      </c>
      <c r="B35" t="str" cm="1">
        <f t="array" ref="B35">INDEX(Albums!C:C,$A35,1)</f>
        <v>COCC-6830</v>
      </c>
      <c r="C35" t="str" cm="1">
        <f t="array" ref="C35">INDEX(Albums!D:D,$A35,1)</f>
        <v>https://vgmdb.net/album/31988</v>
      </c>
      <c r="D35">
        <f t="shared" si="3"/>
        <v>66</v>
      </c>
      <c r="E35" t="str" cm="1">
        <f t="array" ref="E35">"J:\GitHub\VGMdb\VGMdb_"&amp;INDEX(Albums!C:C,A35,1)&amp;"_Source.html"</f>
        <v>J:\GitHub\VGMdb\VGMdb_COCC-6830_Source.html</v>
      </c>
      <c r="F35" s="3" t="str" cm="1">
        <f t="array" ref="F35">ReadLineRange(E35,5,5)</f>
        <v xml:space="preserve">&lt;title&gt;DRAGON BALL Z Hit Song Collection IV Characters Special | COCC-6830 - VGMdb&lt;/title&gt;_x000D_
</v>
      </c>
    </row>
    <row r="36" spans="1:6" x14ac:dyDescent="0.75">
      <c r="A36">
        <f t="shared" si="2"/>
        <v>35</v>
      </c>
      <c r="B36" t="str" cm="1">
        <f t="array" ref="B36">INDEX(Albums!C:C,$A36,1)</f>
        <v>COCC-7094</v>
      </c>
      <c r="C36" t="str" cm="1">
        <f t="array" ref="C36">INDEX(Albums!D:D,$A36,1)</f>
        <v>https://vgmdb.net/album/31989</v>
      </c>
      <c r="D36">
        <f t="shared" si="3"/>
        <v>61</v>
      </c>
      <c r="E36" t="str" cm="1">
        <f t="array" ref="E36">"J:\GitHub\VGMdb\VGMdb_"&amp;INDEX(Albums!C:C,A36,1)&amp;"_Source.html"</f>
        <v>J:\GitHub\VGMdb\VGMdb_COCC-7094_Source.html</v>
      </c>
      <c r="F36" s="3" t="str" cm="1">
        <f t="array" ref="F36">ReadLineRange(E36,5,5)</f>
        <v xml:space="preserve">&lt;title&gt;DRAGON BALL Z Hit Song Collection V Hikari no Tabi | COCC-7094 - VGMdb&lt;/title&gt;_x000D_
</v>
      </c>
    </row>
    <row r="37" spans="1:6" x14ac:dyDescent="0.75">
      <c r="A37">
        <f t="shared" si="2"/>
        <v>36</v>
      </c>
      <c r="B37" t="str" cm="1">
        <f t="array" ref="B37">INDEX(Albums!C:C,$A37,1)</f>
        <v>COCC-7319</v>
      </c>
      <c r="C37" t="str" cm="1">
        <f t="array" ref="C37">INDEX(Albums!D:D,$A37,1)</f>
        <v>https://vgmdb.net/album/32007</v>
      </c>
      <c r="D37">
        <f t="shared" si="3"/>
        <v>70</v>
      </c>
      <c r="E37" t="str" cm="1">
        <f t="array" ref="E37">"J:\GitHub\VGMdb\VGMdb_"&amp;INDEX(Albums!C:C,A37,1)&amp;"_Source.html"</f>
        <v>J:\GitHub\VGMdb\VGMdb_COCC-7319_Source.html</v>
      </c>
      <c r="F37" s="3" t="str" cm="1">
        <f t="array" ref="F37">ReadLineRange(E37,5,5)</f>
        <v xml:space="preserve">&lt;title&gt;DRAGON BALL Z Hit Song Collection VI Battle Point Unlimited | COCC-7319 - VGMdb&lt;/title&gt;_x000D_
</v>
      </c>
    </row>
    <row r="38" spans="1:6" x14ac:dyDescent="0.75">
      <c r="A38">
        <f t="shared" si="2"/>
        <v>37</v>
      </c>
      <c r="B38" t="str" cm="1">
        <f t="array" ref="B38">INDEX(Albums!C:C,$A38,1)</f>
        <v>GAME-002</v>
      </c>
      <c r="C38" t="str" cm="1">
        <f t="array" ref="C38">INDEX(Albums!D:D,$A38,1)</f>
        <v>https://vgmdb.net/album/14528</v>
      </c>
      <c r="D38">
        <f t="shared" si="3"/>
        <v>64</v>
      </c>
      <c r="E38" t="str" cm="1">
        <f t="array" ref="E38">"J:\GitHub\VGMdb\VGMdb_"&amp;INDEX(Albums!C:C,A38,1)&amp;"_Source.html"</f>
        <v>J:\GitHub\VGMdb\VGMdb_GAME-002_Source.html</v>
      </c>
      <c r="F38" s="3" t="str" cm="1">
        <f t="array" ref="F38">ReadLineRange(E38,5,5)</f>
        <v xml:space="preserve">&lt;title&gt;Super Famicom Version Symphonic Suite Dragon Quest II | GAME-002 - VGMdb&lt;/title&gt;_x000D_
</v>
      </c>
    </row>
    <row r="39" spans="1:6" x14ac:dyDescent="0.75">
      <c r="A39">
        <f t="shared" si="2"/>
        <v>38</v>
      </c>
      <c r="B39" t="str" cm="1">
        <f t="array" ref="B39">INDEX(Albums!C:C,$A39,1)</f>
        <v>LD32-5102</v>
      </c>
      <c r="C39" t="str" cm="1">
        <f t="array" ref="C39">INDEX(Albums!D:D,$A39,1)</f>
        <v>https://vgmdb.net/album/71780</v>
      </c>
      <c r="D39">
        <f t="shared" si="3"/>
        <v>21</v>
      </c>
      <c r="E39" t="str" cm="1">
        <f t="array" ref="E39">"J:\GitHub\VGMdb\VGMdb_"&amp;INDEX(Albums!C:C,A39,1)&amp;"_Source.html"</f>
        <v>J:\GitHub\VGMdb\VGMdb_LD32-5102_Source.html</v>
      </c>
      <c r="F39" s="3" t="str" cm="1">
        <f t="array" ref="F39">ReadLineRange(E39,5,5)</f>
        <v xml:space="preserve">&lt;title&gt;EARTHIAN 2 | LD32-5102 - VGMdb&lt;/title&gt;_x000D_
</v>
      </c>
    </row>
    <row r="40" spans="1:6" x14ac:dyDescent="0.75">
      <c r="A40">
        <f t="shared" si="2"/>
        <v>39</v>
      </c>
      <c r="B40" t="str" cm="1">
        <f t="array" ref="B40">INDEX(Albums!C:C,$A40,1)</f>
        <v>ES-02</v>
      </c>
      <c r="C40" t="str" cm="1">
        <f t="array" ref="C40">INDEX(Albums!D:D,$A40,1)</f>
        <v>https://vgmdb.net/album/144021</v>
      </c>
      <c r="D40">
        <f t="shared" si="3"/>
        <v>57</v>
      </c>
      <c r="E40" t="str" cm="1">
        <f t="array" ref="E40">"J:\GitHub\VGMdb\VGMdb_"&amp;INDEX(Albums!C:C,A40,1)&amp;"_Source.html"</f>
        <v>J:\GitHub\VGMdb\VGMdb_ES-02_Source.html</v>
      </c>
      <c r="F40" s="3" t="str" cm="1">
        <f t="array" ref="F40">ReadLineRange(E40,5,5)</f>
        <v xml:space="preserve">&lt;title&gt;THE VISION OF ESCAFLOWNE ORIGINAL SOUNDTRACK 2 | ES-02 - VGMdb&lt;/title&gt;_x000D_
</v>
      </c>
    </row>
    <row r="41" spans="1:6" x14ac:dyDescent="0.75">
      <c r="A41">
        <f t="shared" si="2"/>
        <v>40</v>
      </c>
      <c r="B41" t="str" cm="1">
        <f t="array" ref="B41">INDEX(Albums!C:C,$A41,1)</f>
        <v>ES-01</v>
      </c>
      <c r="C41" t="str" cm="1">
        <f t="array" ref="C41">INDEX(Albums!D:D,$A41,1)</f>
        <v>https://vgmdb.net/album/19659 (VICL-769)</v>
      </c>
      <c r="D41" t="e">
        <f t="shared" si="3"/>
        <v>#VALUE!</v>
      </c>
      <c r="E41" t="str" cm="1">
        <f t="array" ref="E41">"J:\GitHub\VGMdb\VGMdb_"&amp;INDEX(Albums!C:C,A41,1)&amp;"_Source.html"</f>
        <v>J:\GitHub\VGMdb\VGMdb_ES-01_Source.html</v>
      </c>
      <c r="F41" s="3" t="str" cm="1">
        <f t="array" ref="F41">ReadLineRange(E41,5,5)</f>
        <v xml:space="preserve">&lt;title&gt;THE VISION OF ESCAFLOWNE ORIGINAL SOUNDTRACK | VICL-769 - VGMdb&lt;/title&gt;_x000D_
</v>
      </c>
    </row>
    <row r="42" spans="1:6" x14ac:dyDescent="0.75">
      <c r="A42">
        <f t="shared" si="2"/>
        <v>41</v>
      </c>
      <c r="B42" t="str" cm="1">
        <f t="array" ref="B42">INDEX(Albums!C:C,$A42,1)</f>
        <v>23469</v>
      </c>
      <c r="C42" t="str" cm="1">
        <f t="array" ref="C42">INDEX(Albums!D:D,$A42,1)</f>
        <v>https://vgmdb.net/album/25984</v>
      </c>
      <c r="D42">
        <f t="shared" si="3"/>
        <v>58</v>
      </c>
      <c r="E42" t="str" cm="1">
        <f t="array" ref="E42">"J:\GitHub\VGMdb\VGMdb_"&amp;INDEX(Albums!C:C,A42,1)&amp;"_Source.html"</f>
        <v>J:\GitHub\VGMdb\VGMdb_23469_Source.html</v>
      </c>
      <c r="F42" s="3" t="str" cm="1">
        <f t="array" ref="F42">ReadLineRange(E42,5,5)</f>
        <v xml:space="preserve">&lt;title&gt;FANTASTIC CHILDREN O.S.T. ~ A Gift from Greecia | 23469 - VGMdb&lt;/title&gt;_x000D_
</v>
      </c>
    </row>
    <row r="43" spans="1:6" x14ac:dyDescent="0.75">
      <c r="A43">
        <f t="shared" si="2"/>
        <v>42</v>
      </c>
      <c r="B43" t="str" cm="1">
        <f t="array" ref="B43">INDEX(Albums!C:C,$A43,1)</f>
        <v>VICL-548</v>
      </c>
      <c r="C43" t="str" cm="1">
        <f t="array" ref="C43">INDEX(Albums!D:D,$A43,1)</f>
        <v>https://vgmdb.net/album/4733</v>
      </c>
      <c r="D43">
        <f t="shared" si="3"/>
        <v>40</v>
      </c>
      <c r="E43" t="str" cm="1">
        <f t="array" ref="E43">"J:\GitHub\VGMdb\VGMdb_"&amp;INDEX(Albums!C:C,A43,1)&amp;"_Source.html"</f>
        <v>J:\GitHub\VGMdb\VGMdb_VICL-548_Source.html</v>
      </c>
      <c r="F43" s="3" t="str" cm="1">
        <f t="array" ref="F43">ReadLineRange(E43,5,5)</f>
        <v xml:space="preserve">&lt;title&gt;Fortune Quest "Roll the Dice" | VICL-548 - VGMdb&lt;/title&gt;_x000D_
</v>
      </c>
    </row>
    <row r="44" spans="1:6" x14ac:dyDescent="0.75">
      <c r="A44">
        <f t="shared" si="2"/>
        <v>43</v>
      </c>
      <c r="B44" t="str" cm="1">
        <f t="array" ref="B44">INDEX(Albums!C:C,$A44,1)</f>
        <v>5276-2</v>
      </c>
      <c r="C44" t="str" cm="1">
        <f t="array" ref="C44">INDEX(Albums!D:D,$A44,1)</f>
        <v>https://vgmdb.net/album/29617</v>
      </c>
      <c r="D44">
        <f t="shared" si="3"/>
        <v>70</v>
      </c>
      <c r="E44" t="str" cm="1">
        <f t="array" ref="E44">"J:\GitHub\VGMdb\VGMdb_"&amp;INDEX(Albums!C:C,A44,1)&amp;"_Source.html"</f>
        <v>J:\GitHub\VGMdb\VGMdb_5276-2_Source.html</v>
      </c>
      <c r="F44" s="3" t="str" cm="1">
        <f t="array" ref="F44">ReadLineRange(E44,5,5)</f>
        <v xml:space="preserve">&lt;title&gt;Fruits Basket â€“ Four Seasons â€“ Song for Ritsuko Okazaki | 5276-2 - VGMdb&lt;/title&gt;_x000D_
</v>
      </c>
    </row>
    <row r="45" spans="1:6" x14ac:dyDescent="0.75">
      <c r="A45">
        <f t="shared" si="2"/>
        <v>44</v>
      </c>
      <c r="B45" t="str" cm="1">
        <f t="array" ref="B45">INDEX(Albums!C:C,$A45,1)</f>
        <v>5223-2</v>
      </c>
      <c r="C45" t="str" cm="1">
        <f t="array" ref="C45">INDEX(Albums!D:D,$A45,1)</f>
        <v>https://vgmdb.net/album/43640</v>
      </c>
      <c r="D45">
        <f t="shared" si="3"/>
        <v>59</v>
      </c>
      <c r="E45" t="str" cm="1">
        <f t="array" ref="E45">"J:\GitHub\VGMdb\VGMdb_"&amp;INDEX(Albums!C:C,A45,1)&amp;"_Source.html"</f>
        <v>J:\GitHub\VGMdb\VGMdb_5223-2_Source.html</v>
      </c>
      <c r="F45" s="3" t="str" cm="1">
        <f t="array" ref="F45">ReadLineRange(E45,5,5)</f>
        <v xml:space="preserve">&lt;title&gt;Fruits Basket Original Soundtrack Memory for You | 5223-2 - VGMdb&lt;/title&gt;_x000D_
</v>
      </c>
    </row>
    <row r="46" spans="1:6" x14ac:dyDescent="0.75">
      <c r="A46">
        <f t="shared" si="2"/>
        <v>45</v>
      </c>
      <c r="B46" t="str" cm="1">
        <f t="array" ref="B46">INDEX(Albums!C:C,$A46,1)</f>
        <v>APCM-5064</v>
      </c>
      <c r="C46" t="str" cm="1">
        <f t="array" ref="C46">INDEX(Albums!D:D,$A46,1)</f>
        <v>https://vgmdb.net/album/23642</v>
      </c>
      <c r="D46">
        <f t="shared" si="3"/>
        <v>44</v>
      </c>
      <c r="E46" t="str" cm="1">
        <f t="array" ref="E46">"J:\GitHub\VGMdb\VGMdb_"&amp;INDEX(Albums!C:C,A46,1)&amp;"_Source.html"</f>
        <v>J:\GitHub\VGMdb\VGMdb_APCM-5064_Source.html</v>
      </c>
      <c r="F46" s="3" t="str" cm="1">
        <f t="array" ref="F46">ReadLineRange(E46,5,5)</f>
        <v xml:space="preserve">&lt;title&gt;Fushigi Yuugi Original Soundtrack | APCM-5064 - VGMdb&lt;/title&gt;_x000D_
</v>
      </c>
    </row>
    <row r="47" spans="1:6" x14ac:dyDescent="0.75">
      <c r="A47">
        <f t="shared" si="2"/>
        <v>46</v>
      </c>
      <c r="B47" t="str" cm="1">
        <f t="array" ref="B47">INDEX(Albums!C:C,$A47,1)</f>
        <v>AYCM-555</v>
      </c>
      <c r="C47" t="str" cm="1">
        <f t="array" ref="C47">INDEX(Albums!D:D,$A47,1)</f>
        <v>https://vgmdb.net/album/125334</v>
      </c>
      <c r="D47">
        <f t="shared" si="3"/>
        <v>62</v>
      </c>
      <c r="E47" t="str" cm="1">
        <f t="array" ref="E47">"J:\GitHub\VGMdb\VGMdb_"&amp;INDEX(Albums!C:C,A47,1)&amp;"_Source.html"</f>
        <v>J:\GitHub\VGMdb\VGMdb_AYCM-555_Source.html</v>
      </c>
      <c r="F47" s="3" t="str" cm="1">
        <f t="array" ref="F47">ReadLineRange(E47,5,5)</f>
        <v xml:space="preserve">&lt;title&gt;Original Video Series Fushigi Yuugi SONG Collection | AYCM-555 - VGMdb&lt;/title&gt;_x000D_
</v>
      </c>
    </row>
    <row r="48" spans="1:6" x14ac:dyDescent="0.75">
      <c r="A48">
        <f t="shared" si="2"/>
        <v>47</v>
      </c>
      <c r="B48" t="str" cm="1">
        <f t="array" ref="B48">INDEX(Albums!C:C,$A48,1)</f>
        <v>25199</v>
      </c>
      <c r="C48" t="str" cm="1">
        <f t="array" ref="C48">INDEX(Albums!D:D,$A48,1)</f>
        <v>https://vgmdb.net/album/23883</v>
      </c>
      <c r="D48">
        <f t="shared" si="3"/>
        <v>57</v>
      </c>
      <c r="E48" t="str" cm="1">
        <f t="array" ref="E48">"J:\GitHub\VGMdb\VGMdb_"&amp;INDEX(Albums!C:C,A48,1)&amp;"_Source.html"</f>
        <v>J:\GitHub\VGMdb\VGMdb_25199_Source.html</v>
      </c>
      <c r="F48" s="3" t="str" cm="1">
        <f t="array" ref="F48">ReadLineRange(E48,5,5)</f>
        <v xml:space="preserve">&lt;title&gt;Ghost in the Shell STAND ALONE COMPLEX O.S.T.+ | 25199 - VGMdb&lt;/title&gt;_x000D_
</v>
      </c>
    </row>
    <row r="49" spans="1:6" x14ac:dyDescent="0.75">
      <c r="A49">
        <f t="shared" si="2"/>
        <v>48</v>
      </c>
      <c r="B49" t="str" cm="1">
        <f t="array" ref="B49">INDEX(Albums!C:C,$A49,1)</f>
        <v>KICA-155</v>
      </c>
      <c r="C49" t="str" cm="1">
        <f t="array" ref="C49">INDEX(Albums!D:D,$A49,1)</f>
        <v>https://vgmdb.net/album/21607</v>
      </c>
      <c r="D49">
        <f t="shared" si="3"/>
        <v>49</v>
      </c>
      <c r="E49" t="str" cm="1">
        <f t="array" ref="E49">"J:\GitHub\VGMdb\VGMdb_"&amp;INDEX(Albums!C:C,A49,1)&amp;"_Source.html"</f>
        <v>J:\GitHub\VGMdb\VGMdb_KICA-155_Source.html</v>
      </c>
      <c r="F49" s="3" t="str" cm="1">
        <f t="array" ref="F49">ReadLineRange(E49,5,5)</f>
        <v xml:space="preserve">&lt;title&gt;GS Mikami Gokuraku Ongaku Daisakusen!! | KICA-155 - VGMdb&lt;/title&gt;_x000D_
</v>
      </c>
    </row>
    <row r="50" spans="1:6" x14ac:dyDescent="0.75">
      <c r="A50">
        <f t="shared" si="2"/>
        <v>49</v>
      </c>
      <c r="B50" t="str" cm="1">
        <f t="array" ref="B50">INDEX(Albums!C:C,$A50,1)</f>
        <v>SRCL-5849</v>
      </c>
      <c r="C50" t="str" cm="1">
        <f t="array" ref="C50">INDEX(Albums!D:D,$A50,1)</f>
        <v>https://vgmdb.net/album/28460</v>
      </c>
      <c r="D50">
        <f t="shared" si="3"/>
        <v>47</v>
      </c>
      <c r="E50" t="str" cm="1">
        <f t="array" ref="E50">"J:\GitHub\VGMdb\VGMdb_"&amp;INDEX(Albums!C:C,A50,1)&amp;"_Source.html"</f>
        <v>J:\GitHub\VGMdb\VGMdb_SRCL-5849_Source.html</v>
      </c>
      <c r="F50" s="3" t="str" cm="1">
        <f t="array" ref="F50">ReadLineRange(E50,5,5)</f>
        <v xml:space="preserve">&lt;title&gt;SD GUNDAM FORCE ORIGINAL SOUNDTRACK+ | SRCL-5849 - VGMdb&lt;/title&gt;_x000D_
</v>
      </c>
    </row>
    <row r="51" spans="1:6" x14ac:dyDescent="0.75">
      <c r="A51">
        <f t="shared" si="2"/>
        <v>50</v>
      </c>
      <c r="B51" t="str" cm="1">
        <f t="array" ref="B51">INDEX(Albums!C:C,$A51,1)</f>
        <v>WPC6-8132</v>
      </c>
      <c r="C51" t="str" cm="1">
        <f t="array" ref="C51">INDEX(Albums!D:D,$A51,1)</f>
        <v>https://vgmdb.net/album/66909</v>
      </c>
      <c r="D51">
        <f t="shared" si="3"/>
        <v>49</v>
      </c>
      <c r="E51" t="str" cm="1">
        <f t="array" ref="E51">"J:\GitHub\VGMdb\VGMdb_"&amp;INDEX(Albums!C:C,A51,1)&amp;"_Source.html"</f>
        <v>J:\GitHub\VGMdb\VGMdb_WPC6-8132_Source.html</v>
      </c>
      <c r="F51" s="3" t="str" cm="1">
        <f t="array" ref="F51">ReadLineRange(E51,5,5)</f>
        <v xml:space="preserve">&lt;title&gt;Mahoujin Guru Guru ORIGINAL SOUNDTRACK | WPC6-8132 - VGMdb&lt;/title&gt;_x000D_
</v>
      </c>
    </row>
    <row r="52" spans="1:6" x14ac:dyDescent="0.75">
      <c r="A52">
        <f t="shared" si="2"/>
        <v>51</v>
      </c>
      <c r="B52" t="str" cm="1">
        <f t="array" ref="B52">INDEX(Albums!C:C,$A52,1)</f>
        <v>PCCG-00133</v>
      </c>
      <c r="C52" t="str" cm="1">
        <f t="array" ref="C52">INDEX(Albums!D:D,$A52,1)</f>
        <v>https://vgmdb.net/album/81080</v>
      </c>
      <c r="D52">
        <f t="shared" si="3"/>
        <v>63</v>
      </c>
      <c r="E52" t="str" cm="1">
        <f t="array" ref="E52">"J:\GitHub\VGMdb\VGMdb_"&amp;INDEX(Albums!C:C,A52,1)&amp;"_Source.html"</f>
        <v>J:\GitHub\VGMdb\VGMdb_PCCG-00133_Source.html</v>
      </c>
      <c r="F52" s="3" t="str" cm="1">
        <f t="array" ref="F52">ReadLineRange(E52,5,5)</f>
        <v xml:space="preserve">&lt;title&gt;Wataru Yoshizumi Original Album "Handsome na Kanojo" | PCCG-00133 - VGMdb&lt;/title&gt;_x000D_
</v>
      </c>
    </row>
    <row r="53" spans="1:6" x14ac:dyDescent="0.75">
      <c r="A53">
        <f t="shared" si="2"/>
        <v>52</v>
      </c>
      <c r="B53" t="str" cm="1">
        <f t="array" ref="B53">INDEX(Albums!C:C,$A53,1)</f>
        <v>VICL-5302</v>
      </c>
      <c r="C53" t="str" cm="1">
        <f t="array" ref="C53">INDEX(Albums!D:D,$A53,1)</f>
        <v>https://vgmdb.net/album/128845</v>
      </c>
      <c r="D53">
        <f t="shared" si="3"/>
        <v>69</v>
      </c>
      <c r="E53" t="str" cm="1">
        <f t="array" ref="E53">"J:\GitHub\VGMdb\VGMdb_"&amp;INDEX(Albums!C:C,A53,1)&amp;"_Source.html"</f>
        <v>J:\GitHub\VGMdb\VGMdb_VICL-5302_Source.html</v>
      </c>
      <c r="F53" s="3" t="str" cm="1">
        <f t="array" ref="F53">ReadLineRange(E53,5,5)</f>
        <v xml:space="preserve">&lt;title&gt;Ketteiban Koko wa Green Wood Vocal Collection / Yukie Nasu | VICL-5302 - VGMdb&lt;/title&gt;_x000D_
</v>
      </c>
    </row>
    <row r="54" spans="1:6" x14ac:dyDescent="0.75">
      <c r="A54">
        <f t="shared" si="2"/>
        <v>53</v>
      </c>
      <c r="B54" t="str" cm="1">
        <f t="array" ref="B54">INDEX(Albums!C:C,$A54,1)</f>
        <v>AVCA-14272</v>
      </c>
      <c r="C54" t="str" cm="1">
        <f t="array" ref="C54">INDEX(Albums!D:D,$A54,1)</f>
        <v>https://vgmdb.net/album/28806</v>
      </c>
      <c r="D54">
        <f t="shared" si="3"/>
        <v>43</v>
      </c>
      <c r="E54" t="str" cm="1">
        <f t="array" ref="E54">"J:\GitHub\VGMdb\VGMdb_"&amp;INDEX(Albums!C:C,A54,1)&amp;"_Source.html"</f>
        <v>J:\GitHub\VGMdb\VGMdb_AVCA-14272_Source.html</v>
      </c>
      <c r="F54" s="3" t="str" cm="1">
        <f t="array" ref="F54">ReadLineRange(E54,5,5)</f>
        <v xml:space="preserve">&lt;title&gt;HIKARU NO GO Original Soundtrack | AVCA-14272 - VGMdb&lt;/title&gt;_x000D_
</v>
      </c>
    </row>
    <row r="55" spans="1:6" x14ac:dyDescent="0.75">
      <c r="A55">
        <f t="shared" si="2"/>
        <v>54</v>
      </c>
      <c r="B55" t="str" cm="1">
        <f t="array" ref="B55">INDEX(Albums!C:C,$A55,1)</f>
        <v>5219-2</v>
      </c>
      <c r="C55" t="str" cm="1">
        <f t="array" ref="C55">INDEX(Albums!D:D,$A55,1)</f>
        <v>https://vgmdb.net/album/25007</v>
      </c>
      <c r="D55">
        <f t="shared" si="3"/>
        <v>48</v>
      </c>
      <c r="E55" t="str" cm="1">
        <f t="array" ref="E55">"J:\GitHub\VGMdb\VGMdb_"&amp;INDEX(Albums!C:C,A55,1)&amp;"_Source.html"</f>
        <v>J:\GitHub\VGMdb\VGMdb_5219-2_Source.html</v>
      </c>
      <c r="F55" s="3" t="str" cm="1">
        <f t="array" ref="F55">ReadLineRange(E55,5,5)</f>
        <v xml:space="preserve">&lt;title&gt;His and Her Circumstances â™¥ ACT 1.0 | 5219-2 - VGMdb&lt;/title&gt;_x000D_
</v>
      </c>
    </row>
    <row r="56" spans="1:6" x14ac:dyDescent="0.75">
      <c r="A56">
        <f t="shared" si="2"/>
        <v>55</v>
      </c>
      <c r="B56" t="str" cm="1">
        <f t="array" ref="B56">INDEX(Albums!C:C,$A56,1)</f>
        <v>5279-2</v>
      </c>
      <c r="C56" t="str" cm="1">
        <f t="array" ref="C56">INDEX(Albums!D:D,$A56,1)</f>
        <v>https://vgmdb.net/album/25053</v>
      </c>
      <c r="D56">
        <f t="shared" si="3"/>
        <v>48</v>
      </c>
      <c r="E56" t="str" cm="1">
        <f t="array" ref="E56">"J:\GitHub\VGMdb\VGMdb_"&amp;INDEX(Albums!C:C,A56,1)&amp;"_Source.html"</f>
        <v>J:\GitHub\VGMdb\VGMdb_5279-2_Source.html</v>
      </c>
      <c r="F56" s="3" t="str" cm="1">
        <f t="array" ref="F56">ReadLineRange(E56,5,5)</f>
        <v xml:space="preserve">&lt;title&gt;His and Her Circumstances â™¥ Act 2.0 | 5279-2 - VGMdb&lt;/title&gt;_x000D_
</v>
      </c>
    </row>
    <row r="57" spans="1:6" x14ac:dyDescent="0.75">
      <c r="A57">
        <f t="shared" si="2"/>
        <v>56</v>
      </c>
      <c r="B57" t="str" cm="1">
        <f t="array" ref="B57">INDEX(Albums!C:C,$A57,1)</f>
        <v>MACB-6003</v>
      </c>
      <c r="C57" t="str" cm="1">
        <f t="array" ref="C57">INDEX(Albums!D:D,$A57,1)</f>
        <v>https://vgmdb.net/album/12851</v>
      </c>
      <c r="D57">
        <f t="shared" si="3"/>
        <v>51</v>
      </c>
      <c r="E57" t="str" cm="1">
        <f t="array" ref="E57">"J:\GitHub\VGMdb\VGMdb_"&amp;INDEX(Albums!C:C,A57,1)&amp;"_Source.html"</f>
        <v>J:\GitHub\VGMdb\VGMdb_MACB-6003_Source.html</v>
      </c>
      <c r="F57" s="3" t="str" cm="1">
        <f t="array" ref="F57">ReadLineRange(E57,5,5)</f>
        <v xml:space="preserve">&lt;title&gt;Drama CD Kanon VOL.3 Minase Nayuki Story | MACB-6003 - VGMdb&lt;/title&gt;_x000D_
</v>
      </c>
    </row>
    <row r="58" spans="1:6" x14ac:dyDescent="0.75">
      <c r="A58">
        <f t="shared" si="2"/>
        <v>57</v>
      </c>
      <c r="B58" t="str" cm="1">
        <f t="array" ref="B58">INDEX(Albums!C:C,$A58,1)</f>
        <v>RC008</v>
      </c>
      <c r="C58" t="str" cm="1">
        <f t="array" ref="C58">INDEX(Albums!D:D,$A58,1)</f>
        <v>https://vgmdb.net/album/24565 (30ATC-190)</v>
      </c>
      <c r="D58" t="e">
        <f t="shared" si="3"/>
        <v>#VALUE!</v>
      </c>
      <c r="E58" t="str" cm="1">
        <f t="array" ref="E58">"J:\GitHub\VGMdb\VGMdb_"&amp;INDEX(Albums!C:C,A58,1)&amp;"_Source.html"</f>
        <v>J:\GitHub\VGMdb\VGMdb_RC008_Source.html</v>
      </c>
      <c r="F58" s="3" t="str" cm="1">
        <f t="array" ref="F58">ReadLineRange(E58,5,5)</f>
        <v xml:space="preserve">&lt;title&gt;Majo no Takkyuubin Vocal Album | 30ATC-190 - VGMdb&lt;/title&gt;_x000D_
</v>
      </c>
    </row>
    <row r="59" spans="1:6" x14ac:dyDescent="0.75">
      <c r="A59">
        <f t="shared" si="2"/>
        <v>58</v>
      </c>
      <c r="B59" t="str" cm="1">
        <f t="array" ref="B59">INDEX(Albums!C:C,$A59,1)</f>
        <v>PCCB-00312</v>
      </c>
      <c r="C59" t="str" cm="1">
        <f t="array" ref="C59">INDEX(Albums!D:D,$A59,1)</f>
        <v>https://vgmdb.net/album/3507</v>
      </c>
      <c r="D59">
        <f t="shared" si="3"/>
        <v>64</v>
      </c>
      <c r="E59" t="str" cm="1">
        <f t="array" ref="E59">"J:\GitHub\VGMdb\VGMdb_"&amp;INDEX(Albums!C:C,A59,1)&amp;"_Source.html"</f>
        <v>J:\GitHub\VGMdb\VGMdb_PCCB-00312_Source.html</v>
      </c>
      <c r="F59" s="3" t="str" cm="1">
        <f t="array" ref="F59">ReadLineRange(E59,5,5)</f>
        <v xml:space="preserve">&lt;title&gt;Hiza no Ue no Partner Drama CD ~Yume miru Koneko Hen~ | PCCB-00312 - VGMdb&lt;/title&gt;_x000D_
</v>
      </c>
    </row>
    <row r="60" spans="1:6" x14ac:dyDescent="0.75">
      <c r="A60">
        <f t="shared" si="2"/>
        <v>59</v>
      </c>
      <c r="B60" t="str" cm="1">
        <f t="array" ref="B60">INDEX(Albums!C:C,$A60,1)</f>
        <v>SRCL-3628</v>
      </c>
      <c r="C60" t="str" cm="1">
        <f t="array" ref="C60">INDEX(Albums!D:D,$A60,1)</f>
        <v>https://vgmdb.net/album/22246</v>
      </c>
      <c r="D60">
        <f t="shared" si="3"/>
        <v>38</v>
      </c>
      <c r="E60" t="str" cm="1">
        <f t="array" ref="E60">"J:\GitHub\VGMdb\VGMdb_"&amp;INDEX(Albums!C:C,A60,1)&amp;"_Source.html"</f>
        <v>J:\GitHub\VGMdb\VGMdb_SRCL-3628_Source.html</v>
      </c>
      <c r="F60" s="3" t="str" cm="1">
        <f t="array" ref="F60">ReadLineRange(E60,5,5)</f>
        <v xml:space="preserve">&lt;title&gt;KODOMO NO OMOCHA SOUNDTRACK | SRCL-3628 - VGMdb&lt;/title&gt;_x000D_
</v>
      </c>
    </row>
    <row r="61" spans="1:6" x14ac:dyDescent="0.75">
      <c r="A61">
        <f t="shared" si="2"/>
        <v>60</v>
      </c>
      <c r="B61" t="str" cm="1">
        <f t="array" ref="B61">INDEX(Albums!C:C,$A61,1)</f>
        <v>GGG-233</v>
      </c>
      <c r="C61" t="str" cm="1">
        <f t="array" ref="C61">INDEX(Albums!D:D,$A61,1)</f>
        <v>https://vgmdb.net/album/64097</v>
      </c>
      <c r="D61">
        <f t="shared" si="3"/>
        <v>47</v>
      </c>
      <c r="E61" t="str" cm="1">
        <f t="array" ref="E61">"J:\GitHub\VGMdb\VGMdb_"&amp;INDEX(Albums!C:C,A61,1)&amp;"_Source.html"</f>
        <v>J:\GitHub\VGMdb\VGMdb_GGG-233_Source.html</v>
      </c>
      <c r="F61" s="3" t="str" cm="1">
        <f t="array" ref="F61">ReadLineRange(E61,5,5)</f>
        <v xml:space="preserve">&lt;title&gt;KODOMO NO OMOCHA THE BEST COLLECTION | GGG-233 - VGMdb&lt;/title&gt;_x000D_
</v>
      </c>
    </row>
    <row r="62" spans="1:6" x14ac:dyDescent="0.75">
      <c r="A62">
        <f t="shared" si="2"/>
        <v>61</v>
      </c>
      <c r="B62" t="str" cm="1">
        <f t="array" ref="B62">INDEX(Albums!C:C,$A62,1)</f>
        <v>LD32-5098</v>
      </c>
      <c r="C62" t="str" cm="1">
        <f t="array" ref="C62">INDEX(Albums!D:D,$A62,1)</f>
        <v>https://vgmdb.net/album/25162</v>
      </c>
      <c r="D62">
        <f t="shared" si="3"/>
        <v>36</v>
      </c>
      <c r="E62" t="str" cm="1">
        <f t="array" ref="E62">"J:\GitHub\VGMdb\VGMdb_"&amp;INDEX(Albums!C:C,A62,1)&amp;"_Source.html"</f>
        <v>J:\GitHub\VGMdb\VGMdb_LD32-5098_Source.html</v>
      </c>
      <c r="F62" s="3" t="str" cm="1">
        <f t="array" ref="F62">ReadLineRange(E62,5,5)</f>
        <v xml:space="preserve">&lt;title&gt;Leina Kenrou Densetsu III | LD32-5098 - VGMdb&lt;/title&gt;_x000D_
</v>
      </c>
    </row>
    <row r="63" spans="1:6" x14ac:dyDescent="0.75">
      <c r="A63">
        <f t="shared" si="2"/>
        <v>62</v>
      </c>
      <c r="B63" t="str" cm="1">
        <f t="array" ref="B63">INDEX(Albums!C:C,$A63,1)</f>
        <v>TPCR-1003</v>
      </c>
      <c r="C63" t="str" cm="1">
        <f t="array" ref="C63">INDEX(Albums!D:D,$A63,1)</f>
        <v>https://vgmdb.net/album/40102</v>
      </c>
      <c r="D63">
        <f t="shared" si="3"/>
        <v>48</v>
      </c>
      <c r="E63" t="str" cm="1">
        <f t="array" ref="E63">"J:\GitHub\VGMdb\VGMdb_"&amp;INDEX(Albums!C:C,A63,1)&amp;"_Source.html"</f>
        <v>J:\GitHub\VGMdb\VGMdb_TPCR-1003_Source.html</v>
      </c>
      <c r="F63" s="3" t="str" cm="1">
        <f t="array" ref="F63">ReadLineRange(E63,5,5)</f>
        <v xml:space="preserve">&lt;title&gt;Lime-iro Senkitan Original Soundtrack | TPCR-1003 - VGMdb&lt;/title&gt;_x000D_
</v>
      </c>
    </row>
    <row r="64" spans="1:6" x14ac:dyDescent="0.75">
      <c r="A64">
        <f t="shared" si="2"/>
        <v>63</v>
      </c>
      <c r="B64" t="str" cm="1">
        <f t="array" ref="B64">INDEX(Albums!C:C,$A64,1)</f>
        <v>KICA-414</v>
      </c>
      <c r="C64" t="str" cm="1">
        <f t="array" ref="C64">INDEX(Albums!D:D,$A64,1)</f>
        <v>https://vgmdb.net/album/30406</v>
      </c>
      <c r="D64">
        <f t="shared" si="3"/>
        <v>42</v>
      </c>
      <c r="E64" t="str" cm="1">
        <f t="array" ref="E64">"J:\GitHub\VGMdb\VGMdb_"&amp;INDEX(Albums!C:C,A64,1)&amp;"_Source.html"</f>
        <v>J:\GitHub\VGMdb\VGMdb_KICA-414_Source.html</v>
      </c>
      <c r="F64" s="3" t="str" cm="1">
        <f t="array" ref="F64">ReadLineRange(E64,5,5)</f>
        <v xml:space="preserve">&lt;title&gt;Lost Universe TRACKS CONTENTS 2 | KICA-414 - VGMdb&lt;/title&gt;_x000D_
</v>
      </c>
    </row>
    <row r="65" spans="1:6" x14ac:dyDescent="0.75">
      <c r="A65">
        <f t="shared" si="2"/>
        <v>64</v>
      </c>
      <c r="B65" t="str" cm="1">
        <f t="array" ref="B65">INDEX(Albums!C:C,$A65,1)</f>
        <v>KICA-492</v>
      </c>
      <c r="C65" t="str" cm="1">
        <f t="array" ref="C65">INDEX(Albums!D:D,$A65,1)</f>
        <v>https://vgmdb.net/album/105505</v>
      </c>
      <c r="D65">
        <f t="shared" si="3"/>
        <v>41</v>
      </c>
      <c r="E65" t="str" cm="1">
        <f t="array" ref="E65">"J:\GitHub\VGMdb\VGMdb_"&amp;INDEX(Albums!C:C,A65,1)&amp;"_Source.html"</f>
        <v>J:\GitHub\VGMdb\VGMdb_KICA-492_Source.html</v>
      </c>
      <c r="F65" s="3" t="str" cm="1">
        <f t="array" ref="F65">ReadLineRange(E65,5,5)</f>
        <v xml:space="preserve">&lt;title&gt;"Love Hina" Comics Image Album | KICA-492 - VGMdb&lt;/title&gt;_x000D_
</v>
      </c>
    </row>
    <row r="66" spans="1:6" x14ac:dyDescent="0.75">
      <c r="A66">
        <f t="shared" si="2"/>
        <v>65</v>
      </c>
      <c r="B66" t="str" cm="1">
        <f t="array" ref="B66">INDEX(Albums!C:C,$A66,1)</f>
        <v>GGG-348</v>
      </c>
      <c r="C66" t="str" cm="1">
        <f t="array" ref="C66">INDEX(Albums!D:D,$A66,1)</f>
        <v>https://vgmdb.net/album/65836</v>
      </c>
      <c r="D66">
        <f t="shared" si="3"/>
        <v>48</v>
      </c>
      <c r="E66" t="str" cm="1">
        <f t="array" ref="E66">"J:\GitHub\VGMdb\VGMdb_"&amp;INDEX(Albums!C:C,A66,1)&amp;"_Source.html"</f>
        <v>J:\GitHub\VGMdb\VGMdb_GGG-348_Source.html</v>
      </c>
      <c r="F66" s="3" t="str" cm="1">
        <f t="array" ref="F66">ReadLineRange(E66,5,5)</f>
        <v xml:space="preserve">&lt;title&gt;Love Hina Winter Special ~Silent Eve~ | GGG-348 - VGMdb&lt;/title&gt;_x000D_
</v>
      </c>
    </row>
    <row r="67" spans="1:6" x14ac:dyDescent="0.75">
      <c r="A67">
        <f t="shared" si="2"/>
        <v>66</v>
      </c>
      <c r="B67" t="str" cm="1">
        <f t="array" ref="B67">INDEX(Albums!C:C,$A67,1)</f>
        <v>VICL-574</v>
      </c>
      <c r="C67" t="str" cm="1">
        <f t="array" ref="C67">INDEX(Albums!D:D,$A67,1)</f>
        <v>https://vgmdb.net/album/39995</v>
      </c>
      <c r="D67">
        <f t="shared" si="3"/>
        <v>46</v>
      </c>
      <c r="E67" t="str" cm="1">
        <f t="array" ref="E67">"J:\GitHub\VGMdb\VGMdb_"&amp;INDEX(Albums!C:C,A67,1)&amp;"_Source.html"</f>
        <v>J:\GitHub\VGMdb\VGMdb_VICL-574_Source.html</v>
      </c>
      <c r="F67" s="3" t="str" cm="1">
        <f t="array" ref="F67">ReadLineRange(E67,5,5)</f>
        <v xml:space="preserve">&lt;title&gt;Macross 7 SECOND FIRE / Fire Bomber | VICL-574 - VGMdb&lt;/title&gt;_x000D_
</v>
      </c>
    </row>
    <row r="68" spans="1:6" x14ac:dyDescent="0.75">
      <c r="A68">
        <f t="shared" si="2"/>
        <v>67</v>
      </c>
      <c r="B68" t="str" cm="1">
        <f t="array" ref="B68">INDEX(Albums!C:C,$A68,1)</f>
        <v>POCH-1549</v>
      </c>
      <c r="C68" t="str" cm="1">
        <f t="array" ref="C68">INDEX(Albums!D:D,$A68,1)</f>
        <v>https://vgmdb.net/album/102179</v>
      </c>
      <c r="D68">
        <f t="shared" si="3"/>
        <v>76</v>
      </c>
      <c r="E68" t="str" cm="1">
        <f t="array" ref="E68">"J:\GitHub\VGMdb\VGMdb_"&amp;INDEX(Albums!C:C,A68,1)&amp;"_Source.html"</f>
        <v>J:\GitHub\VGMdb\VGMdb_POCH-1549_Source.html</v>
      </c>
      <c r="F68" s="3" t="str" cm="1">
        <f t="array" ref="F68">ReadLineRange(E68,5,5)</f>
        <v xml:space="preserve">&lt;title&gt;Aoi Tenshi no Ito ~Keiko Yoshinari First Album~ / Keiko Yoshinari | POCH-1549 - VGMdb&lt;/title&gt;_x000D_
</v>
      </c>
    </row>
    <row r="69" spans="1:6" x14ac:dyDescent="0.75">
      <c r="A69">
        <f t="shared" si="2"/>
        <v>68</v>
      </c>
      <c r="B69" t="str" cm="1">
        <f t="array" ref="B69">INDEX(Albums!C:C,$A69,1)</f>
        <v>GA-034</v>
      </c>
      <c r="C69" t="str" cm="1">
        <f t="array" ref="C69">INDEX(Albums!D:D,$A69,1)</f>
        <v>https://vgmdb.net/album/64031</v>
      </c>
      <c r="D69">
        <f t="shared" si="3"/>
        <v>77</v>
      </c>
      <c r="E69" t="str" cm="1">
        <f t="array" ref="E69">"J:\GitHub\VGMdb\VGMdb_"&amp;INDEX(Albums!C:C,A69,1)&amp;"_Source.html"</f>
        <v>J:\GitHub\VGMdb\VGMdb_GA-034_Source.html</v>
      </c>
      <c r="F69" s="3" t="str" cm="1">
        <f t="array" ref="F69">ReadLineRange(E69,5,5)</f>
        <v xml:space="preserve">&lt;title&gt;Magic Knight Rayearth BEST Original Soundtrack 6 ~ Someday Shining | GA-034 - VGMdb&lt;/title&gt;_x000D_
</v>
      </c>
    </row>
    <row r="70" spans="1:6" x14ac:dyDescent="0.75">
      <c r="A70">
        <f t="shared" si="2"/>
        <v>69</v>
      </c>
      <c r="B70" t="str" cm="1">
        <f t="array" ref="B70">INDEX(Albums!C:C,$A70,1)</f>
        <v>POCH-1504</v>
      </c>
      <c r="C70" t="str" cm="1">
        <f t="array" ref="C70">INDEX(Albums!D:D,$A70,1)</f>
        <v>https://vgmdb.net/album/18729</v>
      </c>
      <c r="D70">
        <f t="shared" si="3"/>
        <v>71</v>
      </c>
      <c r="E70" t="str" cm="1">
        <f t="array" ref="E70">"J:\GitHub\VGMdb\VGMdb_"&amp;INDEX(Albums!C:C,A70,1)&amp;"_Source.html"</f>
        <v>J:\GitHub\VGMdb\VGMdb_POCH-1504_Source.html</v>
      </c>
      <c r="F70" s="3" t="str" cm="1">
        <f t="array" ref="F70">ReadLineRange(E70,5,5)</f>
        <v xml:space="preserve">&lt;title&gt;Magic Knight Rayearth Original Soundtrack 4 Atarashii Kizuna | POCH-1504 - VGMdb&lt;/title&gt;_x000D_
</v>
      </c>
    </row>
    <row r="71" spans="1:6" x14ac:dyDescent="0.75">
      <c r="A71">
        <f t="shared" si="2"/>
        <v>70</v>
      </c>
      <c r="B71" t="str" cm="1">
        <f t="array" ref="B71">INDEX(Albums!C:C,$A71,1)</f>
        <v>POCX-1087</v>
      </c>
      <c r="C71" t="str" cm="1">
        <f t="array" ref="C71">INDEX(Albums!D:D,$A71,1)</f>
        <v>https://vgmdb.net/album/22231</v>
      </c>
      <c r="D71">
        <f t="shared" si="3"/>
        <v>53</v>
      </c>
      <c r="E71" t="str" cm="1">
        <f t="array" ref="E71">"J:\GitHub\VGMdb\VGMdb_"&amp;INDEX(Albums!C:C,A71,1)&amp;"_Source.html"</f>
        <v>J:\GitHub\VGMdb\VGMdb_POCX-1087_Source.html</v>
      </c>
      <c r="F71" s="3" t="str" cm="1">
        <f t="array" ref="F71">ReadLineRange(E71,5,5)</f>
        <v xml:space="preserve">&lt;title&gt;MAGIC KNIGHT RAYEARTH EXTRA Mokona SPECIAL | POCX-1087 - VGMdb&lt;/title&gt;_x000D_
</v>
      </c>
    </row>
    <row r="72" spans="1:6" x14ac:dyDescent="0.75">
      <c r="A72">
        <f t="shared" si="2"/>
        <v>71</v>
      </c>
      <c r="B72" t="str" cm="1">
        <f t="array" ref="B72">INDEX(Albums!C:C,$A72,1)</f>
        <v>POCH-1425</v>
      </c>
      <c r="C72" t="str" cm="1">
        <f t="array" ref="C72">INDEX(Albums!D:D,$A72,1)</f>
        <v>https://vgmdb.net/album/18723</v>
      </c>
      <c r="D72">
        <f t="shared" si="3"/>
        <v>72</v>
      </c>
      <c r="E72" t="str" cm="1">
        <f t="array" ref="E72">"J:\GitHub\VGMdb\VGMdb_"&amp;INDEX(Albums!C:C,A72,1)&amp;"_Source.html"</f>
        <v>J:\GitHub\VGMdb\VGMdb_POCH-1425_Source.html</v>
      </c>
      <c r="F72" s="3" t="str" cm="1">
        <f t="array" ref="F72">ReadLineRange(E72,5,5)</f>
        <v xml:space="preserve">&lt;title&gt;Magic Knight Rayearth Original Soundtrack 2 Densetsu no Kishi | POCH-1425 - VGMdb&lt;/title&gt;_x000D_
</v>
      </c>
    </row>
    <row r="73" spans="1:6" x14ac:dyDescent="0.75">
      <c r="A73">
        <f t="shared" si="2"/>
        <v>72</v>
      </c>
      <c r="B73" t="str" cm="1">
        <f t="array" ref="B73">INDEX(Albums!C:C,$A73,1)</f>
        <v>POCH-1490</v>
      </c>
      <c r="C73" t="str" cm="1">
        <f t="array" ref="C73">INDEX(Albums!D:D,$A73,1)</f>
        <v>https://vgmdb.net/album/18726</v>
      </c>
      <c r="D73">
        <f t="shared" si="3"/>
        <v>70</v>
      </c>
      <c r="E73" t="str" cm="1">
        <f t="array" ref="E73">"J:\GitHub\VGMdb\VGMdb_"&amp;INDEX(Albums!C:C,A73,1)&amp;"_Source.html"</f>
        <v>J:\GitHub\VGMdb\VGMdb_POCH-1490_Source.html</v>
      </c>
      <c r="F73" s="3" t="str" cm="1">
        <f t="array" ref="F73">ReadLineRange(E73,5,5)</f>
        <v xml:space="preserve">&lt;title&gt;Magic Knight Rayearth Original Soundtrack 3 Yuzurenai Negai | POCH-1490 - VGMdb&lt;/title&gt;_x000D_
</v>
      </c>
    </row>
    <row r="74" spans="1:6" x14ac:dyDescent="0.75">
      <c r="A74">
        <f t="shared" si="2"/>
        <v>73</v>
      </c>
      <c r="B74" t="str" cm="1">
        <f t="array" ref="B74">INDEX(Albums!C:C,$A74,1)</f>
        <v>POCH-1505</v>
      </c>
      <c r="C74" t="str" cm="1">
        <f t="array" ref="C74">INDEX(Albums!D:D,$A74,1)</f>
        <v>https://vgmdb.net/album/18730</v>
      </c>
      <c r="D74">
        <f t="shared" si="3"/>
        <v>71</v>
      </c>
      <c r="E74" t="str" cm="1">
        <f t="array" ref="E74">"J:\GitHub\VGMdb\VGMdb_"&amp;INDEX(Albums!C:C,A74,1)&amp;"_Source.html"</f>
        <v>J:\GitHub\VGMdb\VGMdb_POCH-1505_Source.html</v>
      </c>
      <c r="F74" s="3" t="str" cm="1">
        <f t="array" ref="F74">ReadLineRange(E74,5,5)</f>
        <v xml:space="preserve">&lt;title&gt;Magic Knight Rayearth Original Soundtrack 5 Hikaru, Umi, Fuu | POCH-1505 - VGMdb&lt;/title&gt;_x000D_
</v>
      </c>
    </row>
    <row r="75" spans="1:6" x14ac:dyDescent="0.75">
      <c r="A75">
        <f t="shared" ref="A75:A138" si="4">A74+1</f>
        <v>74</v>
      </c>
      <c r="B75" t="str" cm="1">
        <f t="array" ref="B75">INDEX(Albums!C:C,$A75,1)</f>
        <v>POCX-1076</v>
      </c>
      <c r="C75" t="str" cm="1">
        <f t="array" ref="C75">INDEX(Albums!D:D,$A75,1)</f>
        <v>https://vgmdb.net/album/18789</v>
      </c>
      <c r="D75">
        <f t="shared" ref="D75:D138" si="5">FIND(B75,F75)</f>
        <v>48</v>
      </c>
      <c r="E75" t="str" cm="1">
        <f t="array" ref="E75">"J:\GitHub\VGMdb\VGMdb_"&amp;INDEX(Albums!C:C,A75,1)&amp;"_Source.html"</f>
        <v>J:\GitHub\VGMdb\VGMdb_POCX-1076_Source.html</v>
      </c>
      <c r="F75" s="3" t="str" cm="1">
        <f t="array" ref="F75">ReadLineRange(E75,5,5)</f>
        <v xml:space="preserve">&lt;title&gt;RAYEARTH ORIGINAL SOUNDTRACK 1st HALF | POCX-1076 - VGMdb&lt;/title&gt;_x000D_
</v>
      </c>
    </row>
    <row r="76" spans="1:6" x14ac:dyDescent="0.75">
      <c r="A76">
        <f t="shared" si="4"/>
        <v>75</v>
      </c>
      <c r="B76" t="str" cm="1">
        <f t="array" ref="B76">INDEX(Albums!C:C,$A76,1)</f>
        <v>POCX-1077</v>
      </c>
      <c r="C76" t="str" cm="1">
        <f t="array" ref="C76">INDEX(Albums!D:D,$A76,1)</f>
        <v>https://vgmdb.net/album/18790</v>
      </c>
      <c r="D76">
        <f t="shared" si="5"/>
        <v>48</v>
      </c>
      <c r="E76" t="str" cm="1">
        <f t="array" ref="E76">"J:\GitHub\VGMdb\VGMdb_"&amp;INDEX(Albums!C:C,A76,1)&amp;"_Source.html"</f>
        <v>J:\GitHub\VGMdb\VGMdb_POCX-1077_Source.html</v>
      </c>
      <c r="F76" s="3" t="str" cm="1">
        <f t="array" ref="F76">ReadLineRange(E76,5,5)</f>
        <v xml:space="preserve">&lt;title&gt;RAYEARTH ORIGINAL SOUNDTRACK 2nd HALF | POCX-1077 - VGMdb&lt;/title&gt;_x000D_
</v>
      </c>
    </row>
    <row r="77" spans="1:6" x14ac:dyDescent="0.75">
      <c r="A77">
        <f t="shared" si="4"/>
        <v>76</v>
      </c>
      <c r="B77" t="str" cm="1">
        <f t="array" ref="B77">INDEX(Albums!C:C,$A77,1)</f>
        <v>GA-018</v>
      </c>
      <c r="C77" t="str" cm="1">
        <f t="array" ref="C77">INDEX(Albums!D:D,$A77,1)</f>
        <v>https://vgmdb.net/album/75167</v>
      </c>
      <c r="D77">
        <f t="shared" si="5"/>
        <v>51</v>
      </c>
      <c r="E77" t="str" cm="1">
        <f t="array" ref="E77">"J:\GitHub\VGMdb\VGMdb_"&amp;INDEX(Albums!C:C,A77,1)&amp;"_Source.html"</f>
        <v>J:\GitHub\VGMdb\VGMdb_GA-018_Source.html</v>
      </c>
      <c r="F77" s="3" t="str" cm="1">
        <f t="array" ref="F77">ReadLineRange(E77,5,5)</f>
        <v xml:space="preserve">&lt;title&gt;Magic Knight Rayearth Original Song Book | GA-018 - VGMdb&lt;/title&gt;_x000D_
</v>
      </c>
    </row>
    <row r="78" spans="1:6" x14ac:dyDescent="0.75">
      <c r="A78">
        <f t="shared" si="4"/>
        <v>77</v>
      </c>
      <c r="B78" t="str" cm="1">
        <f t="array" ref="B78">INDEX(Albums!C:C,$A78,1)</f>
        <v>GA-045</v>
      </c>
      <c r="C78" t="str" cm="1">
        <f t="array" ref="C78">INDEX(Albums!D:D,$A78,1)</f>
        <v>https://vgmdb.net/album/75166</v>
      </c>
      <c r="D78">
        <f t="shared" si="5"/>
        <v>53</v>
      </c>
      <c r="E78" t="str" cm="1">
        <f t="array" ref="E78">"J:\GitHub\VGMdb\VGMdb_"&amp;INDEX(Albums!C:C,A78,1)&amp;"_Source.html"</f>
        <v>J:\GitHub\VGMdb\VGMdb_GA-045_Source.html</v>
      </c>
      <c r="F78" s="3" t="str" cm="1">
        <f t="array" ref="F78">ReadLineRange(E78,5,5)</f>
        <v xml:space="preserve">&lt;title&gt;Magic Knight Rayearth Original Song Book 2 | GA-045 - VGMdb&lt;/title&gt;_x000D_
</v>
      </c>
    </row>
    <row r="79" spans="1:6" x14ac:dyDescent="0.75">
      <c r="A79">
        <f t="shared" si="4"/>
        <v>78</v>
      </c>
      <c r="B79" t="str" cm="1">
        <f t="array" ref="B79">INDEX(Albums!C:C,$A79,1)</f>
        <v>POCX-1015</v>
      </c>
      <c r="C79" t="str" cm="1">
        <f t="array" ref="C79">INDEX(Albums!D:D,$A79,1)</f>
        <v>https://vgmdb.net/album/23314</v>
      </c>
      <c r="D79">
        <f t="shared" si="5"/>
        <v>53</v>
      </c>
      <c r="E79" t="str" cm="1">
        <f t="array" ref="E79">"J:\GitHub\VGMdb\VGMdb_"&amp;INDEX(Albums!C:C,A79,1)&amp;"_Source.html"</f>
        <v>J:\GitHub\VGMdb\VGMdb_POCX-1015_Source.html</v>
      </c>
      <c r="F79" s="3" t="str" cm="1">
        <f t="array" ref="F79">ReadLineRange(E79,5,5)</f>
        <v xml:space="preserve">&lt;title&gt;Magic Knight Rayearth Original Song Book 2 | POCX-1015 - VGMdb&lt;/title&gt;_x000D_
</v>
      </c>
    </row>
    <row r="80" spans="1:6" x14ac:dyDescent="0.75">
      <c r="A80">
        <f t="shared" si="4"/>
        <v>79</v>
      </c>
      <c r="B80" t="str" cm="1">
        <f t="array" ref="B80">INDEX(Albums!C:C,$A80,1)</f>
        <v>POCH-1424</v>
      </c>
      <c r="C80" t="str" cm="1">
        <f t="array" ref="C80">INDEX(Albums!D:D,$A80,1)</f>
        <v>https://vgmdb.net/album/18720</v>
      </c>
      <c r="D80">
        <f t="shared" si="5"/>
        <v>76</v>
      </c>
      <c r="E80" t="str" cm="1">
        <f t="array" ref="E80">"J:\GitHub\VGMdb\VGMdb_"&amp;INDEX(Albums!C:C,A80,1)&amp;"_Source.html"</f>
        <v>J:\GitHub\VGMdb\VGMdb_POCH-1424_Source.html</v>
      </c>
      <c r="F80" s="3" t="str" cm="1">
        <f t="array" ref="F80">ReadLineRange(E80,5,5)</f>
        <v xml:space="preserve">&lt;title&gt;Magic Knight Rayearth Original Soundtrack 1 Erabareta Shoujotachi | POCH-1424 - VGMdb&lt;/title&gt;_x000D_
</v>
      </c>
    </row>
    <row r="81" spans="1:6" x14ac:dyDescent="0.75">
      <c r="A81">
        <f t="shared" si="4"/>
        <v>80</v>
      </c>
      <c r="B81" t="str" cm="1">
        <f t="array" ref="B81">INDEX(Albums!C:C,$A81,1)</f>
        <v>GGG-051</v>
      </c>
      <c r="C81" t="str" cm="1">
        <f t="array" ref="C81">INDEX(Albums!D:D,$A81,1)</f>
        <v>https://vgmdb.net/album/75162</v>
      </c>
      <c r="D81">
        <f t="shared" si="5"/>
        <v>24</v>
      </c>
      <c r="E81" t="str" cm="1">
        <f t="array" ref="E81">"J:\GitHub\VGMdb\VGMdb_"&amp;INDEX(Albums!C:C,A81,1)&amp;"_Source.html"</f>
        <v>J:\GitHub\VGMdb\VGMdb_GGG-051_Source.html</v>
      </c>
      <c r="F81" s="3" t="str" cm="1">
        <f t="array" ref="F81">ReadLineRange(E81,5,5)</f>
        <v xml:space="preserve">&lt;title&gt;With Rayearth | GGG-051 - VGMdb&lt;/title&gt;_x000D_
</v>
      </c>
    </row>
    <row r="82" spans="1:6" x14ac:dyDescent="0.75">
      <c r="A82">
        <f t="shared" si="4"/>
        <v>81</v>
      </c>
      <c r="B82" t="str" cm="1">
        <f t="array" ref="B82">INDEX(Albums!C:C,$A82,1)</f>
        <v>MJCG-80068</v>
      </c>
      <c r="C82" t="str" cm="1">
        <f t="array" ref="C82">INDEX(Albums!D:D,$A82,1)</f>
        <v>https://vgmdb.net/album/19413</v>
      </c>
      <c r="D82">
        <f t="shared" si="5"/>
        <v>80</v>
      </c>
      <c r="E82" t="str" cm="1">
        <f t="array" ref="E82">"J:\GitHub\VGMdb\VGMdb_"&amp;INDEX(Albums!C:C,A82,1)&amp;"_Source.html"</f>
        <v>J:\GitHub\VGMdb\VGMdb_MJCG-80068_Source.html</v>
      </c>
      <c r="F82" s="3" t="str" cm="1">
        <f t="array" ref="F82">ReadLineRange(E82,5,5)</f>
        <v xml:space="preserve">&lt;title&gt;Ojamajo BANÂ² CD Club Sono 2: Mo~tto! Ojamajo Sweet Song Collection!! | MJCG-80068 - VGMdb&lt;/title&gt;_x000D_
</v>
      </c>
    </row>
    <row r="83" spans="1:6" x14ac:dyDescent="0.75">
      <c r="A83">
        <f t="shared" si="4"/>
        <v>82</v>
      </c>
      <c r="B83" t="str" cm="1">
        <f t="array" ref="B83">INDEX(Albums!C:C,$A83,1)</f>
        <v>COCC-7027</v>
      </c>
      <c r="C83" t="str" cm="1">
        <f t="array" ref="C83">INDEX(Albums!D:D,$A83,1)</f>
        <v>https://vgmdb.net/album/24916</v>
      </c>
      <c r="D83">
        <f t="shared" si="5"/>
        <v>76</v>
      </c>
      <c r="E83" t="str" cm="1">
        <f t="array" ref="E83">"J:\GitHub\VGMdb\VGMdb_"&amp;INDEX(Albums!C:C,A83,1)&amp;"_Source.html"</f>
        <v>J:\GitHub\VGMdb\VGMdb_COCC-7027_Source.html</v>
      </c>
      <c r="F83" s="3" t="str" cm="1">
        <f t="array" ref="F83">ReadLineRange(E83,5,5)</f>
        <v xml:space="preserve">&lt;title&gt;Magical Taruruto-kun Music Collection ~MAGICAL FANTASTIC WORLD!!~ | COCC-7027 - VGMdb&lt;/title&gt;_x000D_
</v>
      </c>
    </row>
    <row r="84" spans="1:6" x14ac:dyDescent="0.75">
      <c r="A84">
        <f t="shared" si="4"/>
        <v>83</v>
      </c>
      <c r="B84" t="str" cm="1">
        <f t="array" ref="B84">INDEX(Albums!C:C,$A84,1)</f>
        <v>COCC-72271</v>
      </c>
      <c r="C84" t="str" cm="1">
        <f t="array" ref="C84">INDEX(Albums!D:D,$A84,1)</f>
        <v>https://vgmdb.net/album/51738</v>
      </c>
      <c r="D84">
        <f t="shared" si="5"/>
        <v>77</v>
      </c>
      <c r="E84" t="str" cm="1">
        <f t="array" ref="E84">"J:\GitHub\VGMdb\VGMdb_"&amp;INDEX(Albums!C:C,A84,1)&amp;"_Source.html"</f>
        <v>J:\GitHub\VGMdb\VGMdb_COCC-72271_Source.html</v>
      </c>
      <c r="F84" s="3" t="str" cm="1">
        <f t="array" ref="F84">ReadLineRange(E84,5,5)</f>
        <v xml:space="preserve">&lt;title&gt;ANIMEX 1200 191 Magical Taruruto-kun Song and Music Collection '92 | COCC-72271 - VGMdb&lt;/title&gt;_x000D_
</v>
      </c>
    </row>
    <row r="85" spans="1:6" x14ac:dyDescent="0.75">
      <c r="A85">
        <f t="shared" si="4"/>
        <v>84</v>
      </c>
      <c r="B85" t="str" cm="1">
        <f t="array" ref="B85">INDEX(Albums!C:C,$A85,1)</f>
        <v>COCC-7704</v>
      </c>
      <c r="C85" t="str" cm="1">
        <f t="array" ref="C85">INDEX(Albums!D:D,$A85,1)</f>
        <v>https://vgmdb.net/album/43768</v>
      </c>
      <c r="D85">
        <f t="shared" si="5"/>
        <v>64</v>
      </c>
      <c r="E85" t="str" cm="1">
        <f t="array" ref="E85">"J:\GitHub\VGMdb\VGMdb_"&amp;INDEX(Albums!C:C,A85,1)&amp;"_Source.html"</f>
        <v>J:\GitHub\VGMdb\VGMdb_COCC-7704_Source.html</v>
      </c>
      <c r="F85" s="3" t="str" cm="1">
        <f t="array" ref="F85">ReadLineRange(E85,5,5)</f>
        <v xml:space="preserve">&lt;title&gt;Mahoutsukai Sally Music Poem Gathering the Brilliance | COCC-7704 - VGMdb&lt;/title&gt;_x000D_
</v>
      </c>
    </row>
    <row r="86" spans="1:6" x14ac:dyDescent="0.75">
      <c r="A86">
        <f t="shared" si="4"/>
        <v>85</v>
      </c>
      <c r="B86" t="str" cm="1">
        <f t="array" ref="B86">INDEX(Albums!C:C,$A86,1)</f>
        <v>H35K-20118</v>
      </c>
      <c r="C86" t="str" cm="1">
        <f t="array" ref="C86">INDEX(Albums!D:D,$A86,1)</f>
        <v>https://vgmdb.net/album/70059</v>
      </c>
      <c r="D86">
        <f t="shared" si="5"/>
        <v>55</v>
      </c>
      <c r="E86" t="str" cm="1">
        <f t="array" ref="E86">"J:\GitHub\VGMdb\VGMdb_"&amp;INDEX(Albums!C:C,A86,1)&amp;"_Source.html"</f>
        <v>J:\GitHub\VGMdb\VGMdb_H35K-20118_Source.html</v>
      </c>
      <c r="F86" s="3" t="str" cm="1">
        <f t="array" ref="F86">ReadLineRange(E86,5,5)</f>
        <v xml:space="preserve">&lt;title&gt;Maison Ikkoku Kanketsuhen Kanzen Shuurokuban | H35K-20118 - VGMdb&lt;/title&gt;_x000D_
</v>
      </c>
    </row>
    <row r="87" spans="1:6" x14ac:dyDescent="0.75">
      <c r="A87">
        <f t="shared" si="4"/>
        <v>86</v>
      </c>
      <c r="B87" t="str" cm="1">
        <f t="array" ref="B87">INDEX(Albums!C:C,$A87,1)</f>
        <v>H30K-20116</v>
      </c>
      <c r="C87" t="str" cm="1">
        <f t="array" ref="C87">INDEX(Albums!D:D,$A87,1)</f>
        <v>https://vgmdb.net/album/64716</v>
      </c>
      <c r="D87">
        <f t="shared" si="5"/>
        <v>56</v>
      </c>
      <c r="E87" t="str" cm="1">
        <f t="array" ref="E87">"J:\GitHub\VGMdb\VGMdb_"&amp;INDEX(Albums!C:C,A87,1)&amp;"_Source.html"</f>
        <v>J:\GitHub\VGMdb\VGMdb_H30K-20116_Source.html</v>
      </c>
      <c r="F87" s="3" t="str" cm="1">
        <f t="array" ref="F87">ReadLineRange(E87,5,5)</f>
        <v xml:space="preserve">&lt;title&gt;Maison Ikkoku Kanketsuhen Original Soundtrack | H30K-20116 - VGMdb&lt;/title&gt;_x000D_
</v>
      </c>
    </row>
    <row r="88" spans="1:6" x14ac:dyDescent="0.75">
      <c r="A88">
        <f t="shared" si="4"/>
        <v>87</v>
      </c>
      <c r="B88" t="str" cm="1">
        <f t="array" ref="B88">INDEX(Albums!C:C,$A88,1)</f>
        <v>KTCR-1166</v>
      </c>
      <c r="C88" t="str" cm="1">
        <f t="array" ref="C88">INDEX(Albums!D:D,$A88,1)</f>
        <v>https://vgmdb.net/album/70060</v>
      </c>
      <c r="D88">
        <f t="shared" si="5"/>
        <v>38</v>
      </c>
      <c r="E88" t="str" cm="1">
        <f t="array" ref="E88">"J:\GitHub\VGMdb\VGMdb_"&amp;INDEX(Albums!C:C,A88,1)&amp;"_Source.html"</f>
        <v>J:\GitHub\VGMdb\VGMdb_KTCR-1166_Source.html</v>
      </c>
      <c r="F88" s="3" t="str" cm="1">
        <f t="array" ref="F88">ReadLineRange(E88,5,5)</f>
        <v xml:space="preserve">&lt;title&gt;MAISON IKKOKU FOREVER REMIX | KTCR-1166 - VGMdb&lt;/title&gt;_x000D_
</v>
      </c>
    </row>
    <row r="89" spans="1:6" x14ac:dyDescent="0.75">
      <c r="A89">
        <f t="shared" si="4"/>
        <v>88</v>
      </c>
      <c r="B89" t="str" cm="1">
        <f t="array" ref="B89">INDEX(Albums!C:C,$A89,1)</f>
        <v>H33K-20076</v>
      </c>
      <c r="C89" t="str" cm="1">
        <f t="array" ref="C89">INDEX(Albums!D:D,$A89,1)</f>
        <v>https://vgmdb.net/album/64698</v>
      </c>
      <c r="D89">
        <f t="shared" si="5"/>
        <v>38</v>
      </c>
      <c r="E89" t="str" cm="1">
        <f t="array" ref="E89">"J:\GitHub\VGMdb\VGMdb_"&amp;INDEX(Albums!C:C,A89,1)&amp;"_Source.html"</f>
        <v>J:\GitHub\VGMdb\VGMdb_H33K-20076_Source.html</v>
      </c>
      <c r="F89" s="3" t="str" cm="1">
        <f t="array" ref="F89">ReadLineRange(E89,5,5)</f>
        <v xml:space="preserve">&lt;title&gt;MAISON IKKOKU MUSIC BLEND 2 | H33K-20076 - VGMdb&lt;/title&gt;_x000D_
</v>
      </c>
    </row>
    <row r="90" spans="1:6" x14ac:dyDescent="0.75">
      <c r="A90">
        <f t="shared" si="4"/>
        <v>89</v>
      </c>
      <c r="B90" t="str" cm="1">
        <f t="array" ref="B90">INDEX(Albums!C:C,$A90,1)</f>
        <v>KTCR-1060</v>
      </c>
      <c r="C90" t="str" cm="1">
        <f t="array" ref="C90">INDEX(Albums!D:D,$A90,1)</f>
        <v>https://vgmdb.net/album/64685</v>
      </c>
      <c r="D90">
        <f t="shared" si="5"/>
        <v>36</v>
      </c>
      <c r="E90" t="str" cm="1">
        <f t="array" ref="E90">"J:\GitHub\VGMdb\VGMdb_"&amp;INDEX(Albums!C:C,A90,1)&amp;"_Source.html"</f>
        <v>J:\GitHub\VGMdb\VGMdb_KTCR-1060_Source.html</v>
      </c>
      <c r="F90" s="3" t="str" cm="1">
        <f t="array" ref="F90">ReadLineRange(E90,5,5)</f>
        <v xml:space="preserve">&lt;title&gt;MAISON IKKOKU MUSIC BLEND | KTCR-1060 - VGMdb&lt;/title&gt;_x000D_
</v>
      </c>
    </row>
    <row r="91" spans="1:6" x14ac:dyDescent="0.75">
      <c r="A91">
        <f t="shared" si="4"/>
        <v>90</v>
      </c>
      <c r="B91" t="str" cm="1">
        <f t="array" ref="B91">INDEX(Albums!C:C,$A91,1)</f>
        <v>H33K-20030</v>
      </c>
      <c r="C91" t="str" cm="1">
        <f t="array" ref="C91">INDEX(Albums!D:D,$A91,1)</f>
        <v>https://vgmdb.net/album/57703</v>
      </c>
      <c r="D91">
        <f t="shared" si="5"/>
        <v>39</v>
      </c>
      <c r="E91" t="str" cm="1">
        <f t="array" ref="E91">"J:\GitHub\VGMdb\VGMdb_"&amp;INDEX(Albums!C:C,A91,1)&amp;"_Source.html"</f>
        <v>J:\GitHub\VGMdb\VGMdb_H33K-20030_Source.html</v>
      </c>
      <c r="F91" s="3" t="str" cm="1">
        <f t="array" ref="F91">ReadLineRange(E91,5,5)</f>
        <v xml:space="preserve">&lt;title&gt;Maison Ikkoku MUSIC COCKTAIL | H33K-20030 - VGMdb&lt;/title&gt;_x000D_
</v>
      </c>
    </row>
    <row r="92" spans="1:6" x14ac:dyDescent="0.75">
      <c r="A92">
        <f t="shared" si="4"/>
        <v>91</v>
      </c>
      <c r="B92" t="str" cm="1">
        <f t="array" ref="B92">INDEX(Albums!C:C,$A92,1)</f>
        <v>H00K-20162</v>
      </c>
      <c r="C92" t="str" cm="1">
        <f t="array" ref="C92">INDEX(Albums!D:D,$A92,1)</f>
        <v>https://vgmdb.net/album/70057</v>
      </c>
      <c r="D92">
        <f t="shared" si="5"/>
        <v>72</v>
      </c>
      <c r="E92" t="str" cm="1">
        <f t="array" ref="E92">"J:\GitHub\VGMdb\VGMdb_"&amp;INDEX(Albums!C:C,A92,1)&amp;"_Source.html"</f>
        <v>J:\GitHub\VGMdb\VGMdb_H00K-20162_Source.html</v>
      </c>
      <c r="F92" s="3" t="str" cm="1">
        <f t="array" ref="F92">ReadLineRange(E92,5,5)</f>
        <v xml:space="preserve">&lt;title&gt;Maison Ikkoku Music Shake Unpublished TV BGM Collection Vol.2 | H00K-20162 - VGMdb&lt;/title&gt;_x000D_
</v>
      </c>
    </row>
    <row r="93" spans="1:6" x14ac:dyDescent="0.75">
      <c r="A93">
        <f t="shared" si="4"/>
        <v>92</v>
      </c>
      <c r="B93" t="str" cm="1">
        <f t="array" ref="B93">INDEX(Albums!C:C,$A93,1)</f>
        <v>H30K-20135</v>
      </c>
      <c r="C93" t="str" cm="1">
        <f t="array" ref="C93">INDEX(Albums!D:D,$A93,1)</f>
        <v>https://vgmdb.net/album/70058</v>
      </c>
      <c r="D93">
        <f t="shared" si="5"/>
        <v>35</v>
      </c>
      <c r="E93" t="str" cm="1">
        <f t="array" ref="E93">"J:\GitHub\VGMdb\VGMdb_"&amp;INDEX(Albums!C:C,A93,1)&amp;"_Source.html"</f>
        <v>J:\GitHub\VGMdb\VGMdb_H30K-20135_Source.html</v>
      </c>
      <c r="F93" s="3" t="str" cm="1">
        <f t="array" ref="F93">ReadLineRange(E93,5,5)</f>
        <v xml:space="preserve">&lt;title&gt;Maison Ikkoku MUSIC SOUR | H30K-20135 - VGMdb&lt;/title&gt;_x000D_
</v>
      </c>
    </row>
    <row r="94" spans="1:6" x14ac:dyDescent="0.75">
      <c r="A94">
        <f t="shared" si="4"/>
        <v>93</v>
      </c>
      <c r="B94" t="str" cm="1">
        <f t="array" ref="B94">INDEX(Albums!C:C,$A94,1)</f>
        <v>APCM-5080</v>
      </c>
      <c r="C94" t="str" cm="1">
        <f t="array" ref="C94">INDEX(Albums!D:D,$A94,1)</f>
        <v>https://vgmdb.net/album/70442</v>
      </c>
      <c r="D94">
        <f t="shared" si="5"/>
        <v>53</v>
      </c>
      <c r="E94" t="str" cm="1">
        <f t="array" ref="E94">"J:\GitHub\VGMdb\VGMdb_"&amp;INDEX(Albums!C:C,A94,1)&amp;"_Source.html"</f>
        <v>J:\GitHub\VGMdb\VGMdb_APCM-5080_Source.html</v>
      </c>
      <c r="F94" s="3" t="str" cm="1">
        <f t="array" ref="F94">ReadLineRange(E94,5,5)</f>
        <v xml:space="preserve">&lt;title&gt;MARMALADE BOY BEST ALBUM Single Collection | APCM-5080 - VGMdb&lt;/title&gt;_x000D_
</v>
      </c>
    </row>
    <row r="95" spans="1:6" x14ac:dyDescent="0.75">
      <c r="A95">
        <f t="shared" si="4"/>
        <v>94</v>
      </c>
      <c r="B95" t="str" cm="1">
        <f t="array" ref="B95">INDEX(Albums!C:C,$A95,1)</f>
        <v>APCM-5063</v>
      </c>
      <c r="C95" t="str" cm="1">
        <f t="array" ref="C95">INDEX(Albums!D:D,$A95,1)</f>
        <v>https://vgmdb.net/album/51845</v>
      </c>
      <c r="D95">
        <f t="shared" si="5"/>
        <v>50</v>
      </c>
      <c r="E95" t="str" cm="1">
        <f t="array" ref="E95">"J:\GitHub\VGMdb\VGMdb_"&amp;INDEX(Albums!C:C,A95,1)&amp;"_Source.html"</f>
        <v>J:\GitHub\VGMdb\VGMdb_APCM-5063_Source.html</v>
      </c>
      <c r="F95" s="3" t="str" cm="1">
        <f t="array" ref="F95">ReadLineRange(E95,5,5)</f>
        <v xml:space="preserve">&lt;title&gt;Marmalade Boy Vol.6: The Ã©tude of dawn | APCM-5063 - VGMdb&lt;/title&gt;_x000D_
</v>
      </c>
    </row>
    <row r="96" spans="1:6" x14ac:dyDescent="0.75">
      <c r="A96">
        <f t="shared" si="4"/>
        <v>95</v>
      </c>
      <c r="B96" t="str" cm="1">
        <f t="array" ref="B96">INDEX(Albums!C:C,$A96,1)</f>
        <v>KICA-79</v>
      </c>
      <c r="C96" t="str" cm="1">
        <f t="array" ref="C96">INDEX(Albums!D:D,$A96,1)</f>
        <v>https://vgmdb.net/album/58326</v>
      </c>
      <c r="D96">
        <f t="shared" si="5"/>
        <v>57</v>
      </c>
      <c r="E96" t="str" cm="1">
        <f t="array" ref="E96">"J:\GitHub\VGMdb\VGMdb_"&amp;INDEX(Albums!C:C,A96,1)&amp;"_Source.html"</f>
        <v>J:\GitHub\VGMdb\VGMdb_KICA-79_Source.html</v>
      </c>
      <c r="F96" s="3" t="str" cm="1">
        <f t="array" ref="F96">ReadLineRange(E96,5,5)</f>
        <v xml:space="preserve">&lt;title&gt;Mahou no Princess Minky Momo DaBaDaBaâ™¥DaBaDa | KICA-79 - VGMdb&lt;/title&gt;_x000D_
</v>
      </c>
    </row>
    <row r="97" spans="1:6" x14ac:dyDescent="0.75">
      <c r="A97">
        <f t="shared" si="4"/>
        <v>96</v>
      </c>
      <c r="B97" t="str" cm="1">
        <f t="array" ref="B97">INDEX(Albums!C:C,$A97,1)</f>
        <v>VDR-1085</v>
      </c>
      <c r="C97" t="str" cm="1">
        <f t="array" ref="C97">INDEX(Albums!D:D,$A97,1)</f>
        <v>https://vgmdb.net/album/67876</v>
      </c>
      <c r="D97">
        <f t="shared" si="5"/>
        <v>65</v>
      </c>
      <c r="E97" t="str" cm="1">
        <f t="array" ref="E97">"J:\GitHub\VGMdb\VGMdb_"&amp;INDEX(Albums!C:C,A97,1)&amp;"_Source.html"</f>
        <v>J:\GitHub\VGMdb\VGMdb_VDR-1085_Source.html</v>
      </c>
      <c r="F97" s="3" t="str" cm="1">
        <f t="array" ref="F97">ReadLineRange(E97,5,5)</f>
        <v xml:space="preserve">&lt;title&gt;Mahou no Princess Minky Momo FENARINARSA SONG FESTIVAL | VDR-1085 - VGMdb&lt;/title&gt;_x000D_
</v>
      </c>
    </row>
    <row r="98" spans="1:6" x14ac:dyDescent="0.75">
      <c r="A98">
        <f t="shared" si="4"/>
        <v>97</v>
      </c>
      <c r="B98" t="str" cm="1">
        <f t="array" ref="B98">INDEX(Albums!C:C,$A98,1)</f>
        <v>KICA-131</v>
      </c>
      <c r="C98" t="str" cm="1">
        <f t="array" ref="C98">INDEX(Albums!D:D,$A98,1)</f>
        <v>https://vgmdb.net/album/58372</v>
      </c>
      <c r="D98">
        <f t="shared" si="5"/>
        <v>34</v>
      </c>
      <c r="E98" t="str" cm="1">
        <f t="array" ref="E98">"J:\GitHub\VGMdb\VGMdb_"&amp;INDEX(Albums!C:C,A98,1)&amp;"_Source.html"</f>
        <v>J:\GitHub\VGMdb\VGMdb_KICA-131_Source.html</v>
      </c>
      <c r="F98" s="3" t="str" cm="1">
        <f t="array" ref="F98">ReadLineRange(E98,5,5)</f>
        <v xml:space="preserve">&lt;title&gt;MINKY MOMO "LOVE STAGE" | KICA-131 - VGMdb&lt;/title&gt;_x000D_
</v>
      </c>
    </row>
    <row r="99" spans="1:6" x14ac:dyDescent="0.75">
      <c r="A99">
        <f t="shared" si="4"/>
        <v>98</v>
      </c>
      <c r="B99" t="str" cm="1">
        <f t="array" ref="B99">INDEX(Albums!C:C,$A99,1)</f>
        <v>KICA-146</v>
      </c>
      <c r="C99" t="str" cm="1">
        <f t="array" ref="C99">INDEX(Albums!D:D,$A99,1)</f>
        <v>https://vgmdb.net/album/47947</v>
      </c>
      <c r="D99">
        <f t="shared" si="5"/>
        <v>42</v>
      </c>
      <c r="E99" t="str" cm="1">
        <f t="array" ref="E99">"J:\GitHub\VGMdb\VGMdb_"&amp;INDEX(Albums!C:C,A99,1)&amp;"_Source.html"</f>
        <v>J:\GitHub\VGMdb\VGMdb_KICA-146_Source.html</v>
      </c>
      <c r="F99" s="3" t="str" cm="1">
        <f t="array" ref="F99">ReadLineRange(E99,5,5)</f>
        <v xml:space="preserve">&lt;title&gt;MINKY MOMO Yume ni Kakeru Hashi | KICA-146 - VGMdb&lt;/title&gt;_x000D_
</v>
      </c>
    </row>
    <row r="100" spans="1:6" x14ac:dyDescent="0.75">
      <c r="A100">
        <f t="shared" si="4"/>
        <v>99</v>
      </c>
      <c r="B100" t="str" cm="1">
        <f t="array" ref="B100">INDEX(Albums!C:C,$A100,1)</f>
        <v>KICA-120</v>
      </c>
      <c r="C100" t="str" cm="1">
        <f t="array" ref="C100">INDEX(Albums!D:D,$A100,1)</f>
        <v>https://vgmdb.net/album/58363</v>
      </c>
      <c r="D100">
        <f t="shared" si="5"/>
        <v>80</v>
      </c>
      <c r="E100" t="str" cm="1">
        <f t="array" ref="E100">"J:\GitHub\VGMdb\VGMdb_"&amp;INDEX(Albums!C:C,A100,1)&amp;"_Source.html"</f>
        <v>J:\GitHub\VGMdb\VGMdb_KICA-120_Source.html</v>
      </c>
      <c r="F100" s="3" t="str" cm="1">
        <f t="array" ref="F100">ReadLineRange(E100,5,5)</f>
        <v xml:space="preserve">&lt;title&gt;Mahou no Princess Minky Momo Yume wo Dakishimete â— Utau Fairy Tale! | KICA-120 - VGMdb&lt;/title&gt;_x000D_
</v>
      </c>
    </row>
    <row r="101" spans="1:6" x14ac:dyDescent="0.75">
      <c r="A101">
        <f t="shared" si="4"/>
        <v>100</v>
      </c>
      <c r="B101" t="str" cm="1">
        <f t="array" ref="B101">INDEX(Albums!C:C,$A101,1)</f>
        <v>KICA-410</v>
      </c>
      <c r="C101" t="str" cm="1">
        <f t="array" ref="C101">INDEX(Albums!D:D,$A101,1)</f>
        <v>https://vgmdb.net/album/22376</v>
      </c>
      <c r="D101">
        <f t="shared" si="5"/>
        <v>54</v>
      </c>
      <c r="E101" t="str" cm="1">
        <f t="array" ref="E101">"J:\GitHub\VGMdb\VGMdb_"&amp;INDEX(Albums!C:C,A101,1)&amp;"_Source.html"</f>
        <v>J:\GitHub\VGMdb\VGMdb_KICA-410_Source.html</v>
      </c>
      <c r="F101" s="3" t="str" cm="1">
        <f t="array" ref="F101">ReadLineRange(E101,5,5)</f>
        <v xml:space="preserve">&lt;title&gt;Nadesico the movie / The prince of darkness | KICA-410 - VGMdb&lt;/title&gt;_x000D_
</v>
      </c>
    </row>
    <row r="102" spans="1:6" x14ac:dyDescent="0.75">
      <c r="A102">
        <f t="shared" si="4"/>
        <v>101</v>
      </c>
      <c r="B102" t="str" cm="1">
        <f t="array" ref="B102">INDEX(Albums!C:C,$A102,1)</f>
        <v>MJCG-80042</v>
      </c>
      <c r="C102" t="str" cm="1">
        <f t="array" ref="C102">INDEX(Albums!D:D,$A102,1)</f>
        <v>https://vgmdb.net/album/2435</v>
      </c>
      <c r="D102">
        <f t="shared" si="5"/>
        <v>55</v>
      </c>
      <c r="E102" t="str" cm="1">
        <f t="array" ref="E102">"J:\GitHub\VGMdb\VGMdb_"&amp;INDEX(Albums!C:C,A102,1)&amp;"_Source.html"</f>
        <v>J:\GitHub\VGMdb\VGMdb_MJCG-80042_Source.html</v>
      </c>
      <c r="F102" s="3" t="str" cm="1">
        <f t="array" ref="F102">ReadLineRange(E102,5,5)</f>
        <v xml:space="preserve">&lt;title&gt;Napple Tale Illustrated Guide to the Fairies | MJCG-80042 - VGMdb&lt;/title&gt;_x000D_
</v>
      </c>
    </row>
    <row r="103" spans="1:6" x14ac:dyDescent="0.75">
      <c r="A103">
        <f t="shared" si="4"/>
        <v>102</v>
      </c>
      <c r="B103" t="str" cm="1">
        <f t="array" ref="B103">INDEX(Albums!C:C,$A103,1)</f>
        <v>TKCA-70134</v>
      </c>
      <c r="C103" t="str" cm="1">
        <f t="array" ref="C103">INDEX(Albums!D:D,$A103,1)</f>
        <v>https://vgmdb.net/album/24580</v>
      </c>
      <c r="D103">
        <f t="shared" si="5"/>
        <v>37</v>
      </c>
      <c r="E103" t="str" cm="1">
        <f t="array" ref="E103">"J:\GitHub\VGMdb\VGMdb_"&amp;INDEX(Albums!C:C,A103,1)&amp;"_Source.html"</f>
        <v>J:\GitHub\VGMdb\VGMdb_TKCA-70134_Source.html</v>
      </c>
      <c r="F103" s="3" t="str" cm="1">
        <f t="array" ref="F103">ReadLineRange(E103,5,5)</f>
        <v xml:space="preserve">&lt;title&gt;NAUSICAÃ„ HIâ–¾TECH SERIES | TKCA-70134 - VGMdb&lt;/title&gt;_x000D_
</v>
      </c>
    </row>
    <row r="104" spans="1:6" x14ac:dyDescent="0.75">
      <c r="A104">
        <f t="shared" si="4"/>
        <v>103</v>
      </c>
      <c r="B104" t="str" cm="1">
        <f t="array" ref="B104">INDEX(Albums!C:C,$A104,1)</f>
        <v>KICA-300</v>
      </c>
      <c r="C104" t="str" cm="1">
        <f t="array" ref="C104">INDEX(Albums!D:D,$A104,1)</f>
        <v>https://vgmdb.net/album/19791</v>
      </c>
      <c r="D104">
        <f t="shared" si="5"/>
        <v>38</v>
      </c>
      <c r="E104" t="str" cm="1">
        <f t="array" ref="E104">"J:\GitHub\VGMdb\VGMdb_"&amp;INDEX(Albums!C:C,A104,1)&amp;"_Source.html"</f>
        <v>J:\GitHub\VGMdb\VGMdb_KICA-300_Source.html</v>
      </c>
      <c r="F104" s="3" t="str" cm="1">
        <f t="array" ref="F104">ReadLineRange(E104,5,5)</f>
        <v xml:space="preserve">&lt;title&gt;NEON GENESIS EVANGELION III | KICA-300 - VGMdb&lt;/title&gt;_x000D_
</v>
      </c>
    </row>
    <row r="105" spans="1:6" x14ac:dyDescent="0.75">
      <c r="A105">
        <f t="shared" si="4"/>
        <v>104</v>
      </c>
      <c r="B105" t="str" cm="1">
        <f t="array" ref="B105">INDEX(Albums!C:C,$A105,1)</f>
        <v>KICA-286</v>
      </c>
      <c r="C105" t="str" cm="1">
        <f t="array" ref="C105">INDEX(Albums!D:D,$A105,1)</f>
        <v>https://vgmdb.net/album/19776</v>
      </c>
      <c r="D105">
        <f t="shared" si="5"/>
        <v>34</v>
      </c>
      <c r="E105" t="str" cm="1">
        <f t="array" ref="E105">"J:\GitHub\VGMdb\VGMdb_"&amp;INDEX(Albums!C:C,A105,1)&amp;"_Source.html"</f>
        <v>J:\GitHub\VGMdb\VGMdb_KICA-286_Source.html</v>
      </c>
      <c r="F105" s="3" t="str" cm="1">
        <f t="array" ref="F105">ReadLineRange(E105,5,5)</f>
        <v xml:space="preserve">&lt;title&gt;NEON GENESIS EVANGELION | KICA-286 - VGMdb&lt;/title&gt;_x000D_
</v>
      </c>
    </row>
    <row r="106" spans="1:6" x14ac:dyDescent="0.75">
      <c r="A106">
        <f t="shared" si="4"/>
        <v>105</v>
      </c>
      <c r="B106" t="str" cm="1">
        <f t="array" ref="B106">INDEX(Albums!C:C,$A106,1)</f>
        <v>KICA-290</v>
      </c>
      <c r="C106" t="str" cm="1">
        <f t="array" ref="C106">INDEX(Albums!D:D,$A106,1)</f>
        <v>https://vgmdb.net/album/19789</v>
      </c>
      <c r="D106">
        <f t="shared" si="5"/>
        <v>37</v>
      </c>
      <c r="E106" t="str" cm="1">
        <f t="array" ref="E106">"J:\GitHub\VGMdb\VGMdb_"&amp;INDEX(Albums!C:C,A106,1)&amp;"_Source.html"</f>
        <v>J:\GitHub\VGMdb\VGMdb_KICA-290_Source.html</v>
      </c>
      <c r="F106" s="3" t="str" cm="1">
        <f t="array" ref="F106">ReadLineRange(E106,5,5)</f>
        <v xml:space="preserve">&lt;title&gt;NEON GENESIS EVANGELION II | KICA-290 - VGMdb&lt;/title&gt;_x000D_
</v>
      </c>
    </row>
    <row r="107" spans="1:6" x14ac:dyDescent="0.75">
      <c r="A107">
        <f t="shared" si="4"/>
        <v>106</v>
      </c>
      <c r="B107" t="str" cm="1">
        <f t="array" ref="B107">INDEX(Albums!C:C,$A107,1)</f>
        <v>KICA-378</v>
      </c>
      <c r="C107" t="str" cm="1">
        <f t="array" ref="C107">INDEX(Albums!D:D,$A107,1)</f>
        <v>https://vgmdb.net/album/22651</v>
      </c>
      <c r="D107">
        <f t="shared" si="5"/>
        <v>60</v>
      </c>
      <c r="E107" t="str" cm="1">
        <f t="array" ref="E107">"J:\GitHub\VGMdb\VGMdb_"&amp;INDEX(Albums!C:C,A107,1)&amp;"_Source.html"</f>
        <v>J:\GitHub\VGMdb\VGMdb_KICA-378_Source.html</v>
      </c>
      <c r="F107" s="3" t="str" cm="1">
        <f t="array" ref="F107">ReadLineRange(E107,5,5)</f>
        <v xml:space="preserve">&lt;title&gt;~refrain~ The songs were inspired by "EVANGELION" | KICA-378 - VGMdb&lt;/title&gt;_x000D_
</v>
      </c>
    </row>
    <row r="108" spans="1:6" x14ac:dyDescent="0.75">
      <c r="A108">
        <f t="shared" si="4"/>
        <v>107</v>
      </c>
      <c r="B108" t="str" cm="1">
        <f t="array" ref="B108">INDEX(Albums!C:C,$A108,1)</f>
        <v>KICA-370</v>
      </c>
      <c r="C108" t="str" cm="1">
        <f t="array" ref="C108">INDEX(Albums!D:D,$A108,1)</f>
        <v>https://vgmdb.net/album/19795</v>
      </c>
      <c r="D108">
        <f t="shared" si="5"/>
        <v>32</v>
      </c>
      <c r="E108" t="str" cm="1">
        <f t="array" ref="E108">"J:\GitHub\VGMdb\VGMdb_"&amp;INDEX(Albums!C:C,A108,1)&amp;"_Source.html"</f>
        <v>J:\GitHub\VGMdb\VGMdb_KICA-370_Source.html</v>
      </c>
      <c r="F108" s="3" t="str" cm="1">
        <f t="array" ref="F108">ReadLineRange(E108,5,5)</f>
        <v xml:space="preserve">&lt;title&gt;THE END OF EVANGELION | KICA-370 - VGMdb&lt;/title&gt;_x000D_
</v>
      </c>
    </row>
    <row r="109" spans="1:6" x14ac:dyDescent="0.75">
      <c r="A109">
        <f t="shared" si="4"/>
        <v>108</v>
      </c>
      <c r="B109" t="str" cm="1">
        <f t="array" ref="B109">INDEX(Albums!C:C,$A109,1)</f>
        <v>PICA-1210</v>
      </c>
      <c r="C109" t="str" cm="1">
        <f t="array" ref="C109">INDEX(Albums!D:D,$A109,1)</f>
        <v>https://vgmdb.net/album/71120</v>
      </c>
      <c r="D109">
        <f t="shared" si="5"/>
        <v>53</v>
      </c>
      <c r="E109" t="str" cm="1">
        <f t="array" ref="E109">"J:\GitHub\VGMdb\VGMdb_"&amp;INDEX(Albums!C:C,A109,1)&amp;"_Source.html"</f>
        <v>J:\GitHub\VGMdb\VGMdb_PICA-1210_Source.html</v>
      </c>
      <c r="F109" s="3" t="str" cm="1">
        <f t="array" ref="F109">ReadLineRange(E109,5,5)</f>
        <v xml:space="preserve">&lt;title&gt;NieA_7 Original Soundtrack - NieA's Loco - | PICA-1210 - VGMdb&lt;/title&gt;_x000D_
</v>
      </c>
    </row>
    <row r="110" spans="1:6" x14ac:dyDescent="0.75">
      <c r="A110">
        <f t="shared" si="4"/>
        <v>109</v>
      </c>
      <c r="B110" t="str" cm="1">
        <f t="array" ref="B110">INDEX(Albums!C:C,$A110,1)</f>
        <v>TECN-15341</v>
      </c>
      <c r="C110" t="str" cm="1">
        <f t="array" ref="C110">INDEX(Albums!D:D,$A110,1)</f>
        <v>https://vgmdb.net/album/24556</v>
      </c>
      <c r="D110">
        <f t="shared" si="5"/>
        <v>39</v>
      </c>
      <c r="E110" t="str" cm="1">
        <f t="array" ref="E110">"J:\GitHub\VGMdb\VGMdb_"&amp;INDEX(Albums!C:C,A110,1)&amp;"_Source.html"</f>
        <v>J:\GitHub\VGMdb\VGMdb_TECN-15341_Source.html</v>
      </c>
      <c r="F110" s="3" t="str" cm="1">
        <f t="array" ref="F110">ReadLineRange(E110,5,5)</f>
        <v xml:space="preserve">&lt;title&gt;NOKTO DE LA GALAKSIA FERVOJO | TECN-15341 - VGMdb&lt;/title&gt;_x000D_
</v>
      </c>
    </row>
    <row r="111" spans="1:6" x14ac:dyDescent="0.75">
      <c r="A111">
        <f t="shared" si="4"/>
        <v>110</v>
      </c>
      <c r="B111" t="str" cm="1">
        <f t="array" ref="B111">INDEX(Albums!C:C,$A111,1)</f>
        <v>BVCH-1413</v>
      </c>
      <c r="C111" t="str" cm="1">
        <f t="array" ref="C111">INDEX(Albums!D:D,$A111,1)</f>
        <v>https://vgmdb.net/album/13669</v>
      </c>
      <c r="D111">
        <f t="shared" si="5"/>
        <v>52</v>
      </c>
      <c r="E111" t="str" cm="1">
        <f t="array" ref="E111">"J:\GitHub\VGMdb\VGMdb_"&amp;INDEX(Albums!C:C,A111,1)&amp;"_Source.html"</f>
        <v>J:\GitHub\VGMdb\VGMdb_BVCH-1413_Source.html</v>
      </c>
      <c r="F111" s="3" t="str" cm="1">
        <f t="array" ref="F111">ReadLineRange(E111,5,5)</f>
        <v xml:space="preserve">&lt;title&gt;NIGHTRUTH Vol.1 The Night Before Festival | BVCH-1413 - VGMdb&lt;/title&gt;_x000D_
</v>
      </c>
    </row>
    <row r="112" spans="1:6" x14ac:dyDescent="0.75">
      <c r="A112">
        <f t="shared" si="4"/>
        <v>111</v>
      </c>
      <c r="B112" t="str" cm="1">
        <f t="array" ref="B112">INDEX(Albums!C:C,$A112,1)</f>
        <v>KICA-140</v>
      </c>
      <c r="C112" t="str" cm="1">
        <f t="array" ref="C112">INDEX(Albums!D:D,$A112,1)</f>
        <v>https://vgmdb.net/album/57625</v>
      </c>
      <c r="D112">
        <f t="shared" si="5"/>
        <v>67</v>
      </c>
      <c r="E112" t="str" cm="1">
        <f t="array" ref="E112">"J:\GitHub\VGMdb\VGMdb_"&amp;INDEX(Albums!C:C,A112,1)&amp;"_Source.html"</f>
        <v>J:\GitHub\VGMdb\VGMdb_KICA-140_Source.html</v>
      </c>
      <c r="F112" s="3" t="str" cm="1">
        <f t="array" ref="F112">ReadLineRange(E112,5,5)</f>
        <v xml:space="preserve">&lt;title&gt;All Purpose Cultural Cat Girl Nuku Nuku SOUND PHASE-0III | KICA-140 - VGMdb&lt;/title&gt;_x000D_
</v>
      </c>
    </row>
    <row r="113" spans="1:6" x14ac:dyDescent="0.75">
      <c r="A113">
        <f t="shared" si="4"/>
        <v>112</v>
      </c>
      <c r="B113" t="str" cm="1">
        <f t="array" ref="B113">INDEX(Albums!C:C,$A113,1)</f>
        <v>KICA-398</v>
      </c>
      <c r="C113" t="str" cm="1">
        <f t="array" ref="C113">INDEX(Albums!D:D,$A113,1)</f>
        <v>https://vgmdb.net/album/57632</v>
      </c>
      <c r="D113">
        <f t="shared" si="5"/>
        <v>97</v>
      </c>
      <c r="E113" t="str" cm="1">
        <f t="array" ref="E113">"J:\GitHub\VGMdb\VGMdb_"&amp;INDEX(Albums!C:C,A113,1)&amp;"_Source.html"</f>
        <v>J:\GitHub\VGMdb\VGMdb_KICA-398_Source.html</v>
      </c>
      <c r="F113" s="3" t="str" cm="1">
        <f t="array" ref="F113">ReadLineRange(E113,5,5)</f>
        <v xml:space="preserve">&lt;title&gt;All Purpose Cultural Cat Girl Nuku Nuku SONGS-2 Natsume Family &amp; Mishima Industry Side | KICA-398 - VGMdb&lt;/title&gt;_x000D_
</v>
      </c>
    </row>
    <row r="114" spans="1:6" x14ac:dyDescent="0.75">
      <c r="A114">
        <f t="shared" si="4"/>
        <v>113</v>
      </c>
      <c r="B114" t="str" cm="1">
        <f t="array" ref="B114">INDEX(Albums!C:C,$A114,1)</f>
        <v>KICA-394</v>
      </c>
      <c r="C114" t="str" cm="1">
        <f t="array" ref="C114">INDEX(Albums!D:D,$A114,1)</f>
        <v>https://vgmdb.net/album/57662</v>
      </c>
      <c r="D114">
        <f t="shared" si="5"/>
        <v>75</v>
      </c>
      <c r="E114" t="str" cm="1">
        <f t="array" ref="E114">"J:\GitHub\VGMdb\VGMdb_"&amp;INDEX(Albums!C:C,A114,1)&amp;"_Source.html"</f>
        <v>J:\GitHub\VGMdb\VGMdb_KICA-394_Source.html</v>
      </c>
      <c r="F114" s="3" t="str" cm="1">
        <f t="array" ref="F114">ReadLineRange(E114,5,5)</f>
        <v xml:space="preserve">&lt;title&gt;All Purpose Cultural Cat Girl Nuku Nuku Manekigaoka Academy Side | KICA-394 - VGMdb&lt;/title&gt;_x000D_
</v>
      </c>
    </row>
    <row r="115" spans="1:6" x14ac:dyDescent="0.75">
      <c r="A115">
        <f t="shared" si="4"/>
        <v>114</v>
      </c>
      <c r="B115" t="str" cm="1">
        <f t="array" ref="B115">INDEX(Albums!C:C,$A115,1)</f>
        <v>MACM-1061</v>
      </c>
      <c r="C115" t="str" cm="1">
        <f t="array" ref="C115">INDEX(Albums!D:D,$A115,1)</f>
        <v>https://vgmdb.net/album/29044</v>
      </c>
      <c r="D115">
        <f t="shared" si="5"/>
        <v>68</v>
      </c>
      <c r="E115" t="str" cm="1">
        <f t="array" ref="E115">"J:\GitHub\VGMdb\VGMdb_"&amp;INDEX(Albums!C:C,A115,1)&amp;"_Source.html"</f>
        <v>J:\GitHub\VGMdb\VGMdb_MACM-1061_Source.html</v>
      </c>
      <c r="F115" s="3" t="str" cm="1">
        <f t="array" ref="F115">ReadLineRange(E115,5,5)</f>
        <v xml:space="preserve">&lt;title&gt;DRAMA CD ONE ~Kagayaku Kisetsu e~ VOL.3 Hirakareta Tobira | MACM-1061 - VGMdb&lt;/title&gt;_x000D_
</v>
      </c>
    </row>
    <row r="116" spans="1:6" x14ac:dyDescent="0.75">
      <c r="A116">
        <f t="shared" si="4"/>
        <v>115</v>
      </c>
      <c r="B116" t="str" cm="1">
        <f t="array" ref="B116">INDEX(Albums!C:C,$A116,1)</f>
        <v>VICL-60183</v>
      </c>
      <c r="C116" t="str" cm="1">
        <f t="array" ref="C116">INDEX(Albums!D:D,$A116,1)</f>
        <v>https://vgmdb.net/album/19471</v>
      </c>
      <c r="D116">
        <f t="shared" si="5"/>
        <v>44</v>
      </c>
      <c r="E116" t="str" cm="1">
        <f t="array" ref="E116">"J:\GitHub\VGMdb\VGMdb_"&amp;INDEX(Albums!C:C,A116,1)&amp;"_Source.html"</f>
        <v>J:\GitHub\VGMdb\VGMdb_VICL-60183_Source.html</v>
      </c>
      <c r="F116" s="3" t="str" cm="1">
        <f t="array" ref="F116">ReadLineRange(E116,5,5)</f>
        <v xml:space="preserve">&lt;title&gt;Outlaw Star Original Soundtrack I | VICL-60183 - VGMdb&lt;/title&gt;_x000D_
</v>
      </c>
    </row>
    <row r="117" spans="1:6" x14ac:dyDescent="0.75">
      <c r="A117">
        <f t="shared" si="4"/>
        <v>116</v>
      </c>
      <c r="B117" t="str" cm="1">
        <f t="array" ref="B117">INDEX(Albums!C:C,$A117,1)</f>
        <v>VPCG-84204</v>
      </c>
      <c r="C117" t="str" cm="1">
        <f t="array" ref="C117">INDEX(Albums!D:D,$A117,1)</f>
        <v>https://vgmdb.net/album/50335</v>
      </c>
      <c r="D117">
        <f t="shared" si="5"/>
        <v>46</v>
      </c>
      <c r="E117" t="str" cm="1">
        <f t="array" ref="E117">"J:\GitHub\VGMdb\VGMdb_"&amp;INDEX(Albums!C:C,A117,1)&amp;"_Source.html"</f>
        <v>J:\GitHub\VGMdb\VGMdb_VPCG-84204_Source.html</v>
      </c>
      <c r="F117" s="3" t="str" cm="1">
        <f t="array" ref="F117">ReadLineRange(E117,5,5)</f>
        <v xml:space="preserve">&lt;title&gt;PATLABOR 2 the Movie PRE SOUNDTRACK | VPCG-84204 - VGMdb&lt;/title&gt;_x000D_
</v>
      </c>
    </row>
    <row r="118" spans="1:6" x14ac:dyDescent="0.75">
      <c r="A118">
        <f t="shared" si="4"/>
        <v>117</v>
      </c>
      <c r="B118" t="str" cm="1">
        <f t="array" ref="B118">INDEX(Albums!C:C,$A118,1)</f>
        <v>PICA-1045</v>
      </c>
      <c r="C118" t="str" cm="1">
        <f t="array" ref="C118">INDEX(Albums!D:D,$A118,1)</f>
        <v>https://vgmdb.net/album/21909</v>
      </c>
      <c r="D118">
        <f t="shared" si="5"/>
        <v>44</v>
      </c>
      <c r="E118" t="str" cm="1">
        <f t="array" ref="E118">"J:\GitHub\VGMdb\VGMdb_"&amp;INDEX(Albums!C:C,A118,1)&amp;"_Source.html"</f>
        <v>J:\GitHub\VGMdb\VGMdb_PICA-1045_Source.html</v>
      </c>
      <c r="F118" s="3" t="str" cm="1">
        <f t="array" ref="F118">ReadLineRange(E118,5,5)</f>
        <v xml:space="preserve">&lt;title&gt;YOU-GEN-KAI-SYA Music Compilation | PICA-1045 - VGMdb&lt;/title&gt;_x000D_
</v>
      </c>
    </row>
    <row r="119" spans="1:6" x14ac:dyDescent="0.75">
      <c r="A119">
        <f t="shared" si="4"/>
        <v>118</v>
      </c>
      <c r="B119" t="str" cm="1">
        <f t="array" ref="B119">INDEX(Albums!C:C,$A119,1)</f>
        <v>TKCA-70410</v>
      </c>
      <c r="C119" t="str" cm="1">
        <f t="array" ref="C119">INDEX(Albums!D:D,$A119,1)</f>
        <v>https://vgmdb.net/album/24622</v>
      </c>
      <c r="D119">
        <f t="shared" si="5"/>
        <v>51</v>
      </c>
      <c r="E119" t="str" cm="1">
        <f t="array" ref="E119">"J:\GitHub\VGMdb\VGMdb_"&amp;INDEX(Albums!C:C,A119,1)&amp;"_Source.html"</f>
        <v>J:\GitHub\VGMdb\VGMdb_TKCA-70410_Source.html</v>
      </c>
      <c r="F119" s="3" t="str" cm="1">
        <f t="array" ref="F119">ReadLineRange(E119,5,5)</f>
        <v xml:space="preserve">&lt;title&gt;Heisei Tanuki Gassen Pom Poko Soundtrack | TKCA-70410 - VGMdb&lt;/title&gt;_x000D_
</v>
      </c>
    </row>
    <row r="120" spans="1:6" x14ac:dyDescent="0.75">
      <c r="A120">
        <f t="shared" si="4"/>
        <v>119</v>
      </c>
      <c r="B120" t="str" cm="1">
        <f t="array" ref="B120">INDEX(Albums!C:C,$A120,1)</f>
        <v>TKCA-30596</v>
      </c>
      <c r="C120" t="str" cm="1">
        <f t="array" ref="C120">INDEX(Albums!D:D,$A120,1)</f>
        <v>https://vgmdb.net/album/22807</v>
      </c>
      <c r="D120">
        <f t="shared" si="5"/>
        <v>37</v>
      </c>
      <c r="E120" t="str" cm="1">
        <f t="array" ref="E120">"J:\GitHub\VGMdb\VGMdb_"&amp;INDEX(Albums!C:C,A120,1)&amp;"_Source.html"</f>
        <v>J:\GitHub\VGMdb\VGMdb_TKCA-30596_Source.html</v>
      </c>
      <c r="F120" s="3" t="str" cm="1">
        <f t="array" ref="F120">ReadLineRange(E120,5,5)</f>
        <v xml:space="preserve">&lt;title&gt;Kurenai no Buta Soundtrack | TKCA-30596 - VGMdb&lt;/title&gt;_x000D_
</v>
      </c>
    </row>
    <row r="121" spans="1:6" x14ac:dyDescent="0.75">
      <c r="A121">
        <f t="shared" si="4"/>
        <v>120</v>
      </c>
      <c r="B121" t="str" cm="1">
        <f t="array" ref="B121">INDEX(Albums!C:C,$A121,1)</f>
        <v>TKCA-70946</v>
      </c>
      <c r="C121" t="str" cm="1">
        <f t="array" ref="C121">INDEX(Albums!D:D,$A121,1)</f>
        <v>https://vgmdb.net/album/19554</v>
      </c>
      <c r="D121">
        <f t="shared" si="5"/>
        <v>36</v>
      </c>
      <c r="E121" t="str" cm="1">
        <f t="array" ref="E121">"J:\GitHub\VGMdb\VGMdb_"&amp;INDEX(Albums!C:C,A121,1)&amp;"_Source.html"</f>
        <v>J:\GitHub\VGMdb\VGMdb_TKCA-70946_Source.html</v>
      </c>
      <c r="F121" s="3" t="str" cm="1">
        <f t="array" ref="F121">ReadLineRange(E121,5,5)</f>
        <v xml:space="preserve">&lt;title&gt;Mononoke Hime Image Album | TKCA-70946 - VGMdb&lt;/title&gt;_x000D_
</v>
      </c>
    </row>
    <row r="122" spans="1:6" x14ac:dyDescent="0.75">
      <c r="A122">
        <f t="shared" si="4"/>
        <v>121</v>
      </c>
      <c r="B122" t="str" cm="1">
        <f t="array" ref="B122">INDEX(Albums!C:C,$A122,1)</f>
        <v>COCC-10689</v>
      </c>
      <c r="C122" t="str" cm="1">
        <f t="array" ref="C122">INDEX(Albums!D:D,$A122,1)</f>
        <v>https://vgmdb.net/album/1189</v>
      </c>
      <c r="D122">
        <f t="shared" si="5"/>
        <v>63</v>
      </c>
      <c r="E122" t="str" cm="1">
        <f t="array" ref="E122">"J:\GitHub\VGMdb\VGMdb_"&amp;INDEX(Albums!C:C,A122,1)&amp;"_Source.html"</f>
        <v>J:\GitHub\VGMdb\VGMdb_COCC-10689_Source.html</v>
      </c>
      <c r="F122" s="3" t="str" cm="1">
        <f t="array" ref="F122">ReadLineRange(E122,5,5)</f>
        <v xml:space="preserve">&lt;title&gt;RANMA NIBUNNOICHI ~Electronic Game Music Collection~ | COCC-10689 - VGMdb&lt;/title&gt;_x000D_
</v>
      </c>
    </row>
    <row r="123" spans="1:6" x14ac:dyDescent="0.75">
      <c r="A123">
        <f t="shared" si="4"/>
        <v>122</v>
      </c>
      <c r="B123" t="str" cm="1">
        <f t="array" ref="B123">INDEX(Albums!C:C,$A123,1)</f>
        <v>PCCG-00195</v>
      </c>
      <c r="C123" t="str" cm="1">
        <f t="array" ref="C123">INDEX(Albums!D:D,$A123,1)</f>
        <v>https://vgmdb.net/album/49205</v>
      </c>
      <c r="D123">
        <f t="shared" si="5"/>
        <v>52</v>
      </c>
      <c r="E123" t="str" cm="1">
        <f t="array" ref="E123">"J:\GitHub\VGMdb\VGMdb_"&amp;INDEX(Albums!C:C,A123,1)&amp;"_Source.html"</f>
        <v>J:\GitHub\VGMdb\VGMdb_PCCG-00195_Source.html</v>
      </c>
      <c r="F123" s="3" t="str" cm="1">
        <f t="array" ref="F123">ReadLineRange(E123,5,5)</f>
        <v xml:space="preserve">&lt;title&gt;RanmaÂ½ Song Calendar (Year 1991 Edition) | PCCG-00195 - VGMdb&lt;/title&gt;_x000D_
</v>
      </c>
    </row>
    <row r="124" spans="1:6" x14ac:dyDescent="0.75">
      <c r="A124">
        <f t="shared" si="4"/>
        <v>123</v>
      </c>
      <c r="B124" t="str" cm="1">
        <f t="array" ref="B124">INDEX(Albums!C:C,$A124,1)</f>
        <v>PCCG-00156</v>
      </c>
      <c r="C124" t="str" cm="1">
        <f t="array" ref="C124">INDEX(Albums!D:D,$A124,1)</f>
        <v>https://vgmdb.net/album/22788</v>
      </c>
      <c r="D124">
        <f t="shared" si="5"/>
        <v>92</v>
      </c>
      <c r="E124" t="str" cm="1">
        <f t="array" ref="E124">"J:\GitHub\VGMdb\VGMdb_"&amp;INDEX(Albums!C:C,A124,1)&amp;"_Source.html"</f>
        <v>J:\GitHub\VGMdb\VGMdb_PCCG-00156_Source.html</v>
      </c>
      <c r="F124" s="3" t="str" cm="1">
        <f t="array" ref="F124">ReadLineRange(E124,5,5)</f>
        <v xml:space="preserve">&lt;title&gt;RanmaÂ½ Chuugoku Nekonron Daikessen! Okiteyaburi no Gekitouhen!! Music Collection | PCCG-00156 - VGMdb&lt;/title&gt;_x000D_
</v>
      </c>
    </row>
    <row r="125" spans="1:6" x14ac:dyDescent="0.75">
      <c r="A125">
        <f t="shared" si="4"/>
        <v>124</v>
      </c>
      <c r="B125" t="str" cm="1">
        <f t="array" ref="B125">INDEX(Albums!C:C,$A125,1)</f>
        <v>PCCG-00191</v>
      </c>
      <c r="C125" t="str" cm="1">
        <f t="array" ref="C125">INDEX(Albums!D:D,$A125,1)</f>
        <v>https://vgmdb.net/album/23138</v>
      </c>
      <c r="D125">
        <f t="shared" si="5"/>
        <v>47</v>
      </c>
      <c r="E125" t="str" cm="1">
        <f t="array" ref="E125">"J:\GitHub\VGMdb\VGMdb_"&amp;INDEX(Albums!C:C,A125,1)&amp;"_Source.html"</f>
        <v>J:\GitHub\VGMdb\VGMdb_PCCG-00191_Source.html</v>
      </c>
      <c r="F125" s="3" t="str" cm="1">
        <f t="array" ref="F125">ReadLineRange(E125,5,5)</f>
        <v xml:space="preserve">&lt;title&gt;RanmaÂ½ Ending Theme Song Collection | PCCG-00191 - VGMdb&lt;/title&gt;_x000D_
</v>
      </c>
    </row>
    <row r="126" spans="1:6" x14ac:dyDescent="0.75">
      <c r="A126">
        <f t="shared" si="4"/>
        <v>125</v>
      </c>
      <c r="B126" t="str" cm="1">
        <f t="array" ref="B126">INDEX(Albums!C:C,$A126,1)</f>
        <v>PCCG-00327</v>
      </c>
      <c r="C126" t="str" cm="1">
        <f t="array" ref="C126">INDEX(Albums!D:D,$A126,1)</f>
        <v>https://vgmdb.net/album/110014</v>
      </c>
      <c r="D126">
        <f t="shared" si="5"/>
        <v>40</v>
      </c>
      <c r="E126" t="str" cm="1">
        <f t="array" ref="E126">"J:\GitHub\VGMdb\VGMdb_"&amp;INDEX(Albums!C:C,A126,1)&amp;"_Source.html"</f>
        <v>J:\GitHub\VGMdb\VGMdb_PCCG-00327_Source.html</v>
      </c>
      <c r="F126" s="3" t="str" cm="1">
        <f t="array" ref="F126">ReadLineRange(E126,5,5)</f>
        <v xml:space="preserve">&lt;title&gt;RanmaÂ½ DoCo Original Karaoke | PCCG-00327 - VGMdb&lt;/title&gt;_x000D_
</v>
      </c>
    </row>
    <row r="127" spans="1:6" x14ac:dyDescent="0.75">
      <c r="A127">
        <f t="shared" si="4"/>
        <v>126</v>
      </c>
      <c r="B127" t="str" cm="1">
        <f t="array" ref="B127">INDEX(Albums!C:C,$A127,1)</f>
        <v>PCCG-00326</v>
      </c>
      <c r="C127" t="str" cm="1">
        <f t="array" ref="C127">INDEX(Albums!D:D,$A127,1)</f>
        <v>https://vgmdb.net/album/25375</v>
      </c>
      <c r="D127">
        <f t="shared" si="5"/>
        <v>32</v>
      </c>
      <c r="E127" t="str" cm="1">
        <f t="array" ref="E127">"J:\GitHub\VGMdb\VGMdb_"&amp;INDEX(Albums!C:C,A127,1)&amp;"_Source.html"</f>
        <v>J:\GitHub\VGMdb\VGMdb_PCCG-00326_Source.html</v>
      </c>
      <c r="F127" s="3" t="str" cm="1">
        <f t="array" ref="F127">ReadLineRange(E127,5,5)</f>
        <v xml:space="preserve">&lt;title&gt;RanmaÂ½ DoCoâ˜†Second | PCCG-00326 - VGMdb&lt;/title&gt;_x000D_
</v>
      </c>
    </row>
    <row r="128" spans="1:6" x14ac:dyDescent="0.75">
      <c r="A128">
        <f t="shared" si="4"/>
        <v>127</v>
      </c>
      <c r="B128" t="str" cm="1">
        <f t="array" ref="B128">INDEX(Albums!C:C,$A128,1)</f>
        <v>KICS-100</v>
      </c>
      <c r="C128" t="str" cm="1">
        <f t="array" ref="C128">INDEX(Albums!D:D,$A128,1)</f>
        <v>https://vgmdb.net/album/86608</v>
      </c>
      <c r="D128">
        <f t="shared" si="5"/>
        <v>46</v>
      </c>
      <c r="E128" t="str" cm="1">
        <f t="array" ref="E128">"J:\GitHub\VGMdb\VGMdb_"&amp;INDEX(Albums!C:C,A128,1)&amp;"_Source.html"</f>
        <v>J:\GitHub\VGMdb\VGMdb_KICS-100_Source.html</v>
      </c>
      <c r="F128" s="3" t="str" cm="1">
        <f t="array" ref="F128">ReadLineRange(E128,5,5)</f>
        <v xml:space="preserve">&lt;title&gt;Half and, Half / MEGUMI HAYASHIBARA | KICS-100 - VGMdb&lt;/title&gt;_x000D_
</v>
      </c>
    </row>
    <row r="129" spans="1:6" x14ac:dyDescent="0.75">
      <c r="A129">
        <f t="shared" si="4"/>
        <v>128</v>
      </c>
      <c r="B129" t="str" cm="1">
        <f t="array" ref="B129">INDEX(Albums!C:C,$A129,1)</f>
        <v>PCCG-00163</v>
      </c>
      <c r="C129" t="str" cm="1">
        <f t="array" ref="C129">INDEX(Albums!D:D,$A129,1)</f>
        <v>https://vgmdb.net/album/23166</v>
      </c>
      <c r="D129">
        <f t="shared" si="5"/>
        <v>55</v>
      </c>
      <c r="E129" t="str" cm="1">
        <f t="array" ref="E129">"J:\GitHub\VGMdb\VGMdb_"&amp;INDEX(Albums!C:C,A129,1)&amp;"_Source.html"</f>
        <v>J:\GitHub\VGMdb\VGMdb_PCCG-00163_Source.html</v>
      </c>
      <c r="F129" s="3" t="str" cm="1">
        <f t="array" ref="F129">ReadLineRange(E129,5,5)</f>
        <v xml:space="preserve">&lt;title&gt;RanmaÂ½ Kakutou Uta Karuta [Limited Edition] | PCCG-00163 - VGMdb&lt;/title&gt;_x000D_
</v>
      </c>
    </row>
    <row r="130" spans="1:6" x14ac:dyDescent="0.75">
      <c r="A130">
        <f t="shared" si="4"/>
        <v>129</v>
      </c>
      <c r="B130" t="str" cm="1">
        <f t="array" ref="B130">INDEX(Albums!C:C,$A130,1)</f>
        <v>PCCG-00186</v>
      </c>
      <c r="C130" t="str" cm="1">
        <f t="array" ref="C130">INDEX(Albums!D:D,$A130,1)</f>
        <v>https://vgmdb.net/album/23143</v>
      </c>
      <c r="D130">
        <f t="shared" si="5"/>
        <v>79</v>
      </c>
      <c r="E130" t="str" cm="1">
        <f t="array" ref="E130">"J:\GitHub\VGMdb\VGMdb_"&amp;INDEX(Albums!C:C,A130,1)&amp;"_Source.html"</f>
        <v>J:\GitHub\VGMdb\VGMdb_PCCG-00186_Source.html</v>
      </c>
      <c r="F130" s="3" t="str" cm="1">
        <f t="array" ref="F130">ReadLineRange(E130,5,5)</f>
        <v xml:space="preserve">&lt;title&gt;RanmaÂ½ Kessen Tougenkyou! Hanayome wo Torimodose!! Music Collection | PCCG-00186 - VGMdb&lt;/title&gt;_x000D_
</v>
      </c>
    </row>
    <row r="131" spans="1:6" x14ac:dyDescent="0.75">
      <c r="A131">
        <f t="shared" si="4"/>
        <v>130</v>
      </c>
      <c r="B131" t="str" cm="1">
        <f t="array" ref="B131">INDEX(Albums!C:C,$A131,1)</f>
        <v>PCCG-00196</v>
      </c>
      <c r="C131" t="str" cm="1">
        <f t="array" ref="C131">INDEX(Albums!D:D,$A131,1)</f>
        <v>https://vgmdb.net/album/23163</v>
      </c>
      <c r="D131">
        <f t="shared" si="5"/>
        <v>29</v>
      </c>
      <c r="E131" t="str" cm="1">
        <f t="array" ref="E131">"J:\GitHub\VGMdb\VGMdb_"&amp;INDEX(Albums!C:C,A131,1)&amp;"_Source.html"</f>
        <v>J:\GitHub\VGMdb\VGMdb_PCCG-00196_Source.html</v>
      </c>
      <c r="F131" s="3" t="str" cm="1">
        <f t="array" ref="F131">ReadLineRange(E131,5,5)</f>
        <v xml:space="preserve">&lt;title&gt;RanmaÂ½ DoCo*FIRST | PCCG-00196 - VGMdb&lt;/title&gt;_x000D_
</v>
      </c>
    </row>
    <row r="132" spans="1:6" x14ac:dyDescent="0.75">
      <c r="A132">
        <f t="shared" si="4"/>
        <v>131</v>
      </c>
      <c r="B132" t="str" cm="1">
        <f t="array" ref="B132">INDEX(Albums!C:C,$A132,1)</f>
        <v>KACD-3004</v>
      </c>
      <c r="C132" t="str" cm="1">
        <f t="array" ref="C132">INDEX(Albums!D:D,$A132,1)</f>
        <v>https://vgmdb.net/album/23517</v>
      </c>
      <c r="D132">
        <f t="shared" si="5"/>
        <v>37</v>
      </c>
      <c r="E132" t="str" cm="1">
        <f t="array" ref="E132">"J:\GitHub\VGMdb\VGMdb_"&amp;INDEX(Albums!C:C,A132,1)&amp;"_Source.html"</f>
        <v>J:\GitHub\VGMdb\VGMdb_KACD-3004_Source.html</v>
      </c>
      <c r="F132" s="3" t="str" cm="1">
        <f t="array" ref="F132">ReadLineRange(E132,5,5)</f>
        <v xml:space="preserve">&lt;title&gt;RanmaÂ½ music calendar '95 | KACD-3004 - VGMdb&lt;/title&gt;_x000D_
</v>
      </c>
    </row>
    <row r="133" spans="1:6" x14ac:dyDescent="0.75">
      <c r="A133">
        <f t="shared" si="4"/>
        <v>132</v>
      </c>
      <c r="B133" t="str" cm="1">
        <f t="array" ref="B133">INDEX(Albums!C:C,$A133,1)</f>
        <v>PCCG-00013</v>
      </c>
      <c r="C133" t="str" cm="1">
        <f t="array" ref="C133">INDEX(Albums!D:D,$A133,1)</f>
        <v>https://vgmdb.net/album/23513</v>
      </c>
      <c r="D133">
        <f t="shared" si="5"/>
        <v>35</v>
      </c>
      <c r="E133" t="str" cm="1">
        <f t="array" ref="E133">"J:\GitHub\VGMdb\VGMdb_"&amp;INDEX(Albums!C:C,A133,1)&amp;"_Source.html"</f>
        <v>J:\GitHub\VGMdb\VGMdb_PCCG-00013_Source.html</v>
      </c>
      <c r="F133" s="3" t="str" cm="1">
        <f t="array" ref="F133">ReadLineRange(E133,5,5)</f>
        <v xml:space="preserve">&lt;title&gt;RanmaÂ½ Nettou Ongakuhen | PCCG-00013 - VGMdb&lt;/title&gt;_x000D_
</v>
      </c>
    </row>
    <row r="134" spans="1:6" x14ac:dyDescent="0.75">
      <c r="A134">
        <f t="shared" si="4"/>
        <v>133</v>
      </c>
      <c r="B134" t="str" cm="1">
        <f t="array" ref="B134">INDEX(Albums!C:C,$A134,1)</f>
        <v>PCCG-00086</v>
      </c>
      <c r="C134" t="str" cm="1">
        <f t="array" ref="C134">INDEX(Albums!D:D,$A134,1)</f>
        <v>https://vgmdb.net/album/23214</v>
      </c>
      <c r="D134">
        <f t="shared" si="5"/>
        <v>36</v>
      </c>
      <c r="E134" t="str" cm="1">
        <f t="array" ref="E134">"J:\GitHub\VGMdb\VGMdb_"&amp;INDEX(Albums!C:C,A134,1)&amp;"_Source.html"</f>
        <v>J:\GitHub\VGMdb\VGMdb_PCCG-00086_Source.html</v>
      </c>
      <c r="F134" s="3" t="str" cm="1">
        <f t="array" ref="F134">ReadLineRange(E134,5,5)</f>
        <v xml:space="preserve">&lt;title&gt;RanmaÂ½ Nettou Uta Gassen | PCCG-00086 - VGMdb&lt;/title&gt;_x000D_
</v>
      </c>
    </row>
    <row r="135" spans="1:6" x14ac:dyDescent="0.75">
      <c r="A135">
        <f t="shared" si="4"/>
        <v>134</v>
      </c>
      <c r="B135" t="str" cm="1">
        <f t="array" ref="B135">INDEX(Albums!C:C,$A135,1)</f>
        <v>CD-RA04</v>
      </c>
      <c r="C135" t="str" cm="1">
        <f t="array" ref="C135">INDEX(Albums!D:D,$A135,1)</f>
        <v>https://vgmdb.net/album/140332</v>
      </c>
      <c r="D135">
        <f t="shared" si="5"/>
        <v>67</v>
      </c>
      <c r="E135" t="str" cm="1">
        <f t="array" ref="E135">"J:\GitHub\VGMdb\VGMdb_"&amp;INDEX(Albums!C:C,A135,1)&amp;"_Source.html"</f>
        <v>J:\GitHub\VGMdb\VGMdb_CD-RA04_Source.html</v>
      </c>
      <c r="F135" s="3" t="str" cm="1">
        <f t="array" ref="F135">ReadLineRange(E135,5,5)</f>
        <v xml:space="preserve">&lt;title&gt;RanmaÂ½ The Movie 2: Nihao My Concubine Music Collection | CD-RA04 - VGMdb&lt;/title&gt;_x000D_
</v>
      </c>
    </row>
    <row r="136" spans="1:6" x14ac:dyDescent="0.75">
      <c r="A136">
        <f t="shared" si="4"/>
        <v>135</v>
      </c>
      <c r="B136" t="str" cm="1">
        <f t="array" ref="B136">INDEX(Albums!C:C,$A136,1)</f>
        <v>D27G-1003</v>
      </c>
      <c r="C136" t="str" cm="1">
        <f t="array" ref="C136">INDEX(Albums!D:D,$A136,1)</f>
        <v>https://vgmdb.net/album/23332</v>
      </c>
      <c r="D136">
        <f t="shared" si="5"/>
        <v>30</v>
      </c>
      <c r="E136" t="str" cm="1">
        <f t="array" ref="E136">"J:\GitHub\VGMdb\VGMdb_"&amp;INDEX(Albums!C:C,A136,1)&amp;"_Source.html"</f>
        <v>J:\GitHub\VGMdb\VGMdb_D27G-1003_Source.html</v>
      </c>
      <c r="F136" s="3" t="str" cm="1">
        <f t="array" ref="F136">ReadLineRange(E136,5,5)</f>
        <v xml:space="preserve">&lt;title&gt;RanmaÂ½ Ongaku Dojo | D27G-1003 - VGMdb&lt;/title&gt;_x000D_
</v>
      </c>
    </row>
    <row r="137" spans="1:6" x14ac:dyDescent="0.75">
      <c r="A137">
        <f t="shared" si="4"/>
        <v>136</v>
      </c>
      <c r="B137" t="str" cm="1">
        <f t="array" ref="B137">INDEX(Albums!C:C,$A137,1)</f>
        <v>KTCR-1356</v>
      </c>
      <c r="C137" t="str" cm="1">
        <f t="array" ref="C137">INDEX(Albums!D:D,$A137,1)</f>
        <v>https://vgmdb.net/album/23906</v>
      </c>
      <c r="D137">
        <f t="shared" si="5"/>
        <v>40</v>
      </c>
      <c r="E137" t="str" cm="1">
        <f t="array" ref="E137">"J:\GitHub\VGMdb\VGMdb_"&amp;INDEX(Albums!C:C,A137,1)&amp;"_Source.html"</f>
        <v>J:\GitHub\VGMdb\VGMdb_KTCR-1356_Source.html</v>
      </c>
      <c r="F137" s="3" t="str" cm="1">
        <f t="array" ref="F137">ReadLineRange(E137,5,5)</f>
        <v xml:space="preserve">&lt;title&gt;RanmaÂ½ Ongaku no Tetsujinhen | KTCR-1356 - VGMdb&lt;/title&gt;_x000D_
</v>
      </c>
    </row>
    <row r="138" spans="1:6" x14ac:dyDescent="0.75">
      <c r="A138">
        <f t="shared" si="4"/>
        <v>137</v>
      </c>
      <c r="B138" t="str" cm="1">
        <f t="array" ref="B138">INDEX(Albums!C:C,$A138,1)</f>
        <v>PCCG-00190</v>
      </c>
      <c r="C138" t="str" cm="1">
        <f t="array" ref="C138">INDEX(Albums!D:D,$A138,1)</f>
        <v>https://vgmdb.net/album/23459</v>
      </c>
      <c r="D138">
        <f t="shared" si="5"/>
        <v>48</v>
      </c>
      <c r="E138" t="str" cm="1">
        <f t="array" ref="E138">"J:\GitHub\VGMdb\VGMdb_"&amp;INDEX(Albums!C:C,A138,1)&amp;"_Source.html"</f>
        <v>J:\GitHub\VGMdb\VGMdb_PCCG-00190_Source.html</v>
      </c>
      <c r="F138" s="3" t="str" cm="1">
        <f t="array" ref="F138">ReadLineRange(E138,5,5)</f>
        <v xml:space="preserve">&lt;title&gt;RanmaÂ½ Opening Theme Song Collection | PCCG-00190 - VGMdb&lt;/title&gt;_x000D_
</v>
      </c>
    </row>
    <row r="139" spans="1:6" x14ac:dyDescent="0.75">
      <c r="A139">
        <f t="shared" ref="A139:A173" si="6">A138+1</f>
        <v>138</v>
      </c>
      <c r="B139" t="str" cm="1">
        <f t="array" ref="B139">INDEX(Albums!C:C,$A139,1)</f>
        <v>KTCR-1269</v>
      </c>
      <c r="C139" t="str" cm="1">
        <f t="array" ref="C139">INDEX(Albums!D:D,$A139,1)</f>
        <v>https://vgmdb.net/album/22485</v>
      </c>
      <c r="D139">
        <f t="shared" ref="D139:D173" si="7">FIND(B139,F139)</f>
        <v>71</v>
      </c>
      <c r="E139" t="str" cm="1">
        <f t="array" ref="E139">"J:\GitHub\VGMdb\VGMdb_"&amp;INDEX(Albums!C:C,A139,1)&amp;"_Source.html"</f>
        <v>J:\GitHub\VGMdb\VGMdb_KTCR-1269_Source.html</v>
      </c>
      <c r="F139" s="3" t="str" cm="1">
        <f t="array" ref="F139">ReadLineRange(E139,5,5)</f>
        <v xml:space="preserve">&lt;title&gt;RanmaÂ½ Choumusabetsu Kessen! Movie vs OVA Music Compilation | KTCR-1269 - VGMdb&lt;/title&gt;_x000D_
</v>
      </c>
    </row>
    <row r="140" spans="1:6" x14ac:dyDescent="0.75">
      <c r="A140">
        <f t="shared" si="6"/>
        <v>139</v>
      </c>
      <c r="B140" t="str" cm="1">
        <f t="array" ref="B140">INDEX(Albums!C:C,$A140,1)</f>
        <v>PCCG-00175</v>
      </c>
      <c r="C140" t="str" cm="1">
        <f t="array" ref="C140">INDEX(Albums!D:D,$A140,1)</f>
        <v>https://vgmdb.net/album/23516</v>
      </c>
      <c r="D140">
        <f t="shared" si="7"/>
        <v>36</v>
      </c>
      <c r="E140" t="str" cm="1">
        <f t="array" ref="E140">"J:\GitHub\VGMdb\VGMdb_"&amp;INDEX(Albums!C:C,A140,1)&amp;"_Source.html"</f>
        <v>J:\GitHub\VGMdb\VGMdb_PCCG-00175_Source.html</v>
      </c>
      <c r="F140" s="3" t="str" cm="1">
        <f t="array" ref="F140">ReadLineRange(E140,5,5)</f>
        <v xml:space="preserve">&lt;title&gt;RanmaÂ½ Saikyou Ongakuhen | PCCG-00175 - VGMdb&lt;/title&gt;_x000D_
</v>
      </c>
    </row>
    <row r="141" spans="1:6" x14ac:dyDescent="0.75">
      <c r="A141">
        <f t="shared" si="6"/>
        <v>140</v>
      </c>
      <c r="B141" t="str" cm="1">
        <f t="array" ref="B141">INDEX(Albums!C:C,$A141,1)</f>
        <v>PCCG-00491</v>
      </c>
      <c r="C141" t="str" cm="1">
        <f t="array" ref="C141">INDEX(Albums!D:D,$A141,1)</f>
        <v>https://vgmdb.net/album/23320</v>
      </c>
      <c r="D141">
        <f t="shared" si="7"/>
        <v>42</v>
      </c>
      <c r="E141" t="str" cm="1">
        <f t="array" ref="E141">"J:\GitHub\VGMdb\VGMdb_"&amp;INDEX(Albums!C:C,A141,1)&amp;"_Source.html"</f>
        <v>J:\GitHub\VGMdb\VGMdb_PCCG-00491_Source.html</v>
      </c>
      <c r="F141" s="3" t="str" cm="1">
        <f t="array" ref="F141">ReadLineRange(E141,5,5)</f>
        <v xml:space="preserve">&lt;title&gt;RanmaÂ½ TV Theme Songs Complete | PCCG-00491 - VGMdb&lt;/title&gt;_x000D_
</v>
      </c>
    </row>
    <row r="142" spans="1:6" x14ac:dyDescent="0.75">
      <c r="A142">
        <f t="shared" si="6"/>
        <v>141</v>
      </c>
      <c r="B142" t="str" cm="1">
        <f t="array" ref="B142">INDEX(Albums!C:C,$A142,1)</f>
        <v>292A-7012</v>
      </c>
      <c r="C142" t="str" cm="1">
        <f t="array" ref="C142">INDEX(Albums!D:D,$A142,1)</f>
        <v>https://vgmdb.net/album/67784</v>
      </c>
      <c r="D142">
        <f t="shared" si="7"/>
        <v>37</v>
      </c>
      <c r="E142" t="str" cm="1">
        <f t="array" ref="E142">"J:\GitHub\VGMdb\VGMdb_"&amp;INDEX(Albums!C:C,A142,1)&amp;"_Source.html"</f>
        <v>J:\GitHub\VGMdb\VGMdb_292A-7012_Source.html</v>
      </c>
      <c r="F142" s="3" t="str" cm="1">
        <f t="array" ref="F142">ReadLineRange(E142,5,5)</f>
        <v xml:space="preserve">&lt;title&gt;Tenkuuden Samurai Troopers | 292A-7012 - VGMdb&lt;/title&gt;_x000D_
</v>
      </c>
    </row>
    <row r="143" spans="1:6" x14ac:dyDescent="0.75">
      <c r="A143">
        <f t="shared" si="6"/>
        <v>142</v>
      </c>
      <c r="B143" t="str" cm="1">
        <f t="array" ref="B143">INDEX(Albums!C:C,$A143,1)</f>
        <v>292A-7016</v>
      </c>
      <c r="C143" t="str" cm="1">
        <f t="array" ref="C143">INDEX(Albums!D:D,$A143,1)</f>
        <v>https://vgmdb.net/album/53033</v>
      </c>
      <c r="D143">
        <f t="shared" si="7"/>
        <v>54</v>
      </c>
      <c r="E143" t="str" cm="1">
        <f t="array" ref="E143">"J:\GitHub\VGMdb\VGMdb_"&amp;INDEX(Albums!C:C,A143,1)&amp;"_Source.html"</f>
        <v>J:\GitHub\VGMdb\VGMdb_292A-7016_Source.html</v>
      </c>
      <c r="F143" s="3" t="str" cm="1">
        <f t="array" ref="F143">ReadLineRange(E143,5,5)</f>
        <v xml:space="preserve">&lt;title&gt;YOROIDEN-SAMURAI TROOPERS Kikoutei Densetsu | 292A-7016 - VGMdb&lt;/title&gt;_x000D_
</v>
      </c>
    </row>
    <row r="144" spans="1:6" x14ac:dyDescent="0.75">
      <c r="A144">
        <f t="shared" si="6"/>
        <v>143</v>
      </c>
      <c r="B144" t="str" cm="1">
        <f t="array" ref="B144">INDEX(Albums!C:C,$A144,1)</f>
        <v>FMCC-5056</v>
      </c>
      <c r="C144" t="str" cm="1">
        <f t="array" ref="C144">INDEX(Albums!D:D,$A144,1)</f>
        <v>https://vgmdb.net/album/28537</v>
      </c>
      <c r="D144">
        <f t="shared" si="7"/>
        <v>48</v>
      </c>
      <c r="E144" t="str" cm="1">
        <f t="array" ref="E144">"J:\GitHub\VGMdb\VGMdb_"&amp;INDEX(Albums!C:C,A144,1)&amp;"_Source.html"</f>
        <v>J:\GitHub\VGMdb\VGMdb_FMCC-5056_Source.html</v>
      </c>
      <c r="F144" s="3" t="str" cm="1">
        <f t="array" ref="F144">ReadLineRange(E144,5,5)</f>
        <v xml:space="preserve">&lt;title&gt;Pretty Soldier SAILORMOON SS in Paris | FMCC-5056 - VGMdb&lt;/title&gt;_x000D_
</v>
      </c>
    </row>
    <row r="145" spans="1:6" x14ac:dyDescent="0.75">
      <c r="A145">
        <f t="shared" si="6"/>
        <v>144</v>
      </c>
      <c r="B145" t="str" cm="1">
        <f t="array" ref="B145">INDEX(Albums!C:C,$A145,1)</f>
        <v>COCC-11777</v>
      </c>
      <c r="C145" t="str" cm="1">
        <f t="array" ref="C145">INDEX(Albums!D:D,$A145,1)</f>
        <v>https://vgmdb.net/album/26827</v>
      </c>
      <c r="D145">
        <f t="shared" si="7"/>
        <v>55</v>
      </c>
      <c r="E145" t="str" cm="1">
        <f t="array" ref="E145">"J:\GitHub\VGMdb\VGMdb_"&amp;INDEX(Albums!C:C,A145,1)&amp;"_Source.html"</f>
        <v>J:\GitHub\VGMdb\VGMdb_COCC-11777_Source.html</v>
      </c>
      <c r="F145" s="3" t="str" cm="1">
        <f t="array" ref="F145">ReadLineRange(E145,5,5)</f>
        <v xml:space="preserve">&lt;title&gt;Pretty Soldier Sailormoon S Music Collection | COCC-11777 - VGMdb&lt;/title&gt;_x000D_
</v>
      </c>
    </row>
    <row r="146" spans="1:6" x14ac:dyDescent="0.75">
      <c r="A146">
        <f t="shared" si="6"/>
        <v>145</v>
      </c>
      <c r="B146" t="str" cm="1">
        <f t="array" ref="B146">INDEX(Albums!C:C,$A146,1)</f>
        <v>COCC-10059</v>
      </c>
      <c r="C146" t="str" cm="1">
        <f t="array" ref="C146">INDEX(Albums!D:D,$A146,1)</f>
        <v>https://vgmdb.net/album/26834</v>
      </c>
      <c r="D146">
        <f t="shared" si="7"/>
        <v>60</v>
      </c>
      <c r="E146" t="str" cm="1">
        <f t="array" ref="E146">"J:\GitHub\VGMdb\VGMdb_"&amp;INDEX(Albums!C:C,A146,1)&amp;"_Source.html"</f>
        <v>J:\GitHub\VGMdb\VGMdb_COCC-10059_Source.html</v>
      </c>
      <c r="F146" s="3" t="str" cm="1">
        <f t="array" ref="F146">ReadLineRange(E146,5,5)</f>
        <v xml:space="preserve">&lt;title&gt;Pretty Soldier Sailormoon ~Ai wa Doko ni Aru no?~ | COCC-10059 - VGMdb&lt;/title&gt;_x000D_
</v>
      </c>
    </row>
    <row r="147" spans="1:6" x14ac:dyDescent="0.75">
      <c r="A147">
        <f t="shared" si="6"/>
        <v>146</v>
      </c>
      <c r="B147" t="str" cm="1">
        <f t="array" ref="B147">INDEX(Albums!C:C,$A147,1)</f>
        <v>COCC-10509</v>
      </c>
      <c r="C147" t="str" cm="1">
        <f t="array" ref="C147">INDEX(Albums!D:D,$A147,1)</f>
        <v>https://vgmdb.net/album/34393</v>
      </c>
      <c r="D147">
        <f t="shared" si="7"/>
        <v>55</v>
      </c>
      <c r="E147" t="str" cm="1">
        <f t="array" ref="E147">"J:\GitHub\VGMdb\VGMdb_"&amp;INDEX(Albums!C:C,A147,1)&amp;"_Source.html"</f>
        <v>J:\GitHub\VGMdb\VGMdb_COCC-10509_Source.html</v>
      </c>
      <c r="F147" s="3" t="str" cm="1">
        <f t="array" ref="F147">ReadLineRange(E147,5,5)</f>
        <v xml:space="preserve">&lt;title&gt;Pretty Soldier Sailormoon ~In Another Dream~ | COCC-10509 - VGMdb&lt;/title&gt;_x000D_
</v>
      </c>
    </row>
    <row r="148" spans="1:6" x14ac:dyDescent="0.75">
      <c r="A148">
        <f t="shared" si="6"/>
        <v>147</v>
      </c>
      <c r="B148" t="str" cm="1">
        <f t="array" ref="B148">INDEX(Albums!C:C,$A148,1)</f>
        <v>COCC-10838</v>
      </c>
      <c r="C148" t="str" cm="1">
        <f t="array" ref="C148">INDEX(Albums!D:D,$A148,1)</f>
        <v>https://vgmdb.net/album/26830</v>
      </c>
      <c r="D148">
        <f t="shared" si="7"/>
        <v>58</v>
      </c>
      <c r="E148" t="str" cm="1">
        <f t="array" ref="E148">"J:\GitHub\VGMdb\VGMdb_"&amp;INDEX(Albums!C:C,A148,1)&amp;"_Source.html"</f>
        <v>J:\GitHub\VGMdb\VGMdb_COCC-10838_Source.html</v>
      </c>
      <c r="F148" s="3" t="str" cm="1">
        <f t="array" ref="F148">ReadLineRange(E148,5,5)</f>
        <v xml:space="preserve">&lt;title&gt;Pretty Soldier Sailormoon R ~Toward the Future~ | COCC-10838 - VGMdb&lt;/title&gt;_x000D_
</v>
      </c>
    </row>
    <row r="149" spans="1:6" x14ac:dyDescent="0.75">
      <c r="A149">
        <f t="shared" si="6"/>
        <v>148</v>
      </c>
      <c r="B149" t="str" cm="1">
        <f t="array" ref="B149">INDEX(Albums!C:C,$A149,1)</f>
        <v>GA-014</v>
      </c>
      <c r="C149" t="str" cm="1">
        <f t="array" ref="C149">INDEX(Albums!D:D,$A149,1)</f>
        <v>https://vgmdb.net/album/71763</v>
      </c>
      <c r="D149">
        <f t="shared" si="7"/>
        <v>68</v>
      </c>
      <c r="E149" t="str" cm="1">
        <f t="array" ref="E149">"J:\GitHub\VGMdb\VGMdb_"&amp;INDEX(Albums!C:C,A149,1)&amp;"_Source.html"</f>
        <v>J:\GitHub\VGMdb\VGMdb_GA-014_Source.html</v>
      </c>
      <c r="F149" s="3" t="str" cm="1">
        <f t="array" ref="F149">ReadLineRange(E149,5,5)</f>
        <v xml:space="preserve">&lt;title&gt;Pretty Soldier Sailormoon Complete Vocal Collection Vol.1 | GA-014 - VGMdb&lt;/title&gt;_x000D_
</v>
      </c>
    </row>
    <row r="150" spans="1:6" x14ac:dyDescent="0.75">
      <c r="A150">
        <f t="shared" si="6"/>
        <v>149</v>
      </c>
      <c r="B150" t="str" cm="1">
        <f t="array" ref="B150">INDEX(Albums!C:C,$A150,1)</f>
        <v>KICA-245</v>
      </c>
      <c r="C150" t="str" cm="1">
        <f t="array" ref="C150">INDEX(Albums!D:D,$A150,1)</f>
        <v>https://vgmdb.net/album/57565</v>
      </c>
      <c r="D150">
        <f t="shared" si="7"/>
        <v>64</v>
      </c>
      <c r="E150" t="str" cm="1">
        <f t="array" ref="E150">"J:\GitHub\VGMdb\VGMdb_"&amp;INDEX(Albums!C:C,A150,1)&amp;"_Source.html"</f>
        <v>J:\GitHub\VGMdb\VGMdb_KICA-245_Source.html</v>
      </c>
      <c r="F150" s="3" t="str" cm="1">
        <f t="array" ref="F150">ReadLineRange(E150,5,5)</f>
        <v xml:space="preserve">&lt;title&gt;Bakuretsu Hunter II The Monthly Collection 1st Season | KICA-245 - VGMdb&lt;/title&gt;_x000D_
</v>
      </c>
    </row>
    <row r="151" spans="1:6" x14ac:dyDescent="0.75">
      <c r="A151">
        <f t="shared" si="6"/>
        <v>150</v>
      </c>
      <c r="B151" t="str" cm="1">
        <f t="array" ref="B151">INDEX(Albums!C:C,$A151,1)</f>
        <v>TOCT-6844</v>
      </c>
      <c r="C151" t="str" cm="1">
        <f t="array" ref="C151">INDEX(Albums!D:D,$A151,1)</f>
        <v>https://vgmdb.net/album/34774</v>
      </c>
      <c r="D151">
        <f t="shared" si="7"/>
        <v>47</v>
      </c>
      <c r="E151" t="str" cm="1">
        <f t="array" ref="E151">"J:\GitHub\VGMdb\VGMdb_"&amp;INDEX(Albums!C:C,A151,1)&amp;"_Source.html"</f>
        <v>J:\GitHub\VGMdb\VGMdb_TOCT-6844_Source.html</v>
      </c>
      <c r="F151" s="3" t="str" cm="1">
        <f t="array" ref="F151">ReadLineRange(E151,5,5)</f>
        <v xml:space="preserve">&lt;title&gt;Scramble Wars / Doki! Doki! Paradise | TOCT-6844 - VGMdb&lt;/title&gt;_x000D_
</v>
      </c>
    </row>
    <row r="152" spans="1:6" x14ac:dyDescent="0.75">
      <c r="A152">
        <f t="shared" si="6"/>
        <v>151</v>
      </c>
      <c r="B152" t="str" cm="1">
        <f t="array" ref="B152">INDEX(Albums!C:C,$A152,1)</f>
        <v>TYCY-5151</v>
      </c>
      <c r="C152" t="str" cm="1">
        <f t="array" ref="C152">INDEX(Albums!D:D,$A152,1)</f>
        <v>https://vgmdb.net/album/22053</v>
      </c>
      <c r="D152">
        <f t="shared" si="7"/>
        <v>42</v>
      </c>
      <c r="E152" t="str" cm="1">
        <f t="array" ref="E152">"J:\GitHub\VGMdb\VGMdb_"&amp;INDEX(Albums!C:C,A152,1)&amp;"_Source.html"</f>
        <v>J:\GitHub\VGMdb\VGMdb_TYCY-5151_Source.html</v>
      </c>
      <c r="F152" s="3" t="str" cm="1">
        <f t="array" ref="F152">ReadLineRange(E152,5,5)</f>
        <v xml:space="preserve">&lt;title&gt;THE SECRET OF BLUE WATER Vol. 3 | TYCY-5151 - VGMdb&lt;/title&gt;_x000D_
</v>
      </c>
    </row>
    <row r="153" spans="1:6" x14ac:dyDescent="0.75">
      <c r="A153">
        <f t="shared" si="6"/>
        <v>152</v>
      </c>
      <c r="B153" t="str" cm="1">
        <f t="array" ref="B153">INDEX(Albums!C:C,$A153,1)</f>
        <v>TYCY-5144</v>
      </c>
      <c r="C153" t="str" cm="1">
        <f t="array" ref="C153">INDEX(Albums!D:D,$A153,1)</f>
        <v>https://vgmdb.net/album/22119</v>
      </c>
      <c r="D153">
        <f t="shared" si="7"/>
        <v>42</v>
      </c>
      <c r="E153" t="str" cm="1">
        <f t="array" ref="E153">"J:\GitHub\VGMdb\VGMdb_"&amp;INDEX(Albums!C:C,A153,1)&amp;"_Source.html"</f>
        <v>J:\GitHub\VGMdb\VGMdb_TYCY-5144_Source.html</v>
      </c>
      <c r="F153" s="3" t="str" cm="1">
        <f t="array" ref="F153">ReadLineRange(E153,5,5)</f>
        <v xml:space="preserve">&lt;title&gt;THE SECRET OF BLUE WATER Vol. 2 | TYCY-5144 - VGMdb&lt;/title&gt;_x000D_
</v>
      </c>
    </row>
    <row r="154" spans="1:6" x14ac:dyDescent="0.75">
      <c r="A154">
        <f t="shared" si="6"/>
        <v>153</v>
      </c>
      <c r="B154" t="str" cm="1">
        <f t="array" ref="B154">INDEX(Albums!C:C,$A154,1)</f>
        <v>TKCA-71210</v>
      </c>
      <c r="C154" t="str" cm="1">
        <f t="array" ref="C154">INDEX(Albums!D:D,$A154,1)</f>
        <v>https://vgmdb.net/album/2080</v>
      </c>
      <c r="D154">
        <f t="shared" si="7"/>
        <v>35</v>
      </c>
      <c r="E154" t="str" cm="1">
        <f t="array" ref="E154">"J:\GitHub\VGMdb\VGMdb_"&amp;INDEX(Albums!C:C,A154,1)&amp;"_Source.html"</f>
        <v>J:\GitHub\VGMdb\VGMdb_TKCA-71210_Source.html</v>
      </c>
      <c r="F154" s="3" t="str" cm="1">
        <f t="array" ref="F154">ReadLineRange(E154,5,5)</f>
        <v xml:space="preserve">&lt;title&gt;SEGA Vocal Entertainment | TKCA-71210 - VGMdb&lt;/title&gt;_x000D_
</v>
      </c>
    </row>
    <row r="155" spans="1:6" x14ac:dyDescent="0.75">
      <c r="A155">
        <f t="shared" si="6"/>
        <v>154</v>
      </c>
      <c r="B155" t="str" cm="1">
        <f t="array" ref="B155">INDEX(Albums!C:C,$A155,1)</f>
        <v>NACG-1001</v>
      </c>
      <c r="C155" t="str" cm="1">
        <f t="array" ref="C155">INDEX(Albums!D:D,$A155,1)</f>
        <v>https://vgmdb.net/album/7978</v>
      </c>
      <c r="D155">
        <f t="shared" si="7"/>
        <v>50</v>
      </c>
      <c r="E155" t="str" cm="1">
        <f t="array" ref="E155">"J:\GitHub\VGMdb\VGMdb_"&amp;INDEX(Albums!C:C,A155,1)&amp;"_Source.html"</f>
        <v>J:\GitHub\VGMdb\VGMdb_NACG-1001_Source.html</v>
      </c>
      <c r="F155" s="3" t="str" cm="1">
        <f t="array" ref="F155">ReadLineRange(E155,5,5)</f>
        <v xml:space="preserve">&lt;title&gt;Sentimental Graffiti 1: Manami Sugihara | NACG-1001 - VGMdb&lt;/title&gt;_x000D_
</v>
      </c>
    </row>
    <row r="156" spans="1:6" x14ac:dyDescent="0.75">
      <c r="A156">
        <f t="shared" si="6"/>
        <v>155</v>
      </c>
      <c r="B156" t="str" cm="1">
        <f t="array" ref="B156">INDEX(Albums!C:C,$A156,1)</f>
        <v>PICA-7002</v>
      </c>
      <c r="C156" t="str" cm="1">
        <f t="array" ref="C156">INDEX(Albums!D:D,$A156,1)</f>
        <v>https://vgmdb.net/album/59117</v>
      </c>
      <c r="D156">
        <f t="shared" si="7"/>
        <v>96</v>
      </c>
      <c r="E156" t="str" cm="1">
        <f t="array" ref="E156">"J:\GitHub\VGMdb\VGMdb_"&amp;INDEX(Albums!C:C,A156,1)&amp;"_Source.html"</f>
        <v>J:\GitHub\VGMdb\VGMdb_PICA-7002_Source.html</v>
      </c>
      <c r="F156" s="3" t="str" cm="1">
        <f t="array" ref="F156">ReadLineRange(E156,5,5)</f>
        <v xml:space="preserve">&lt;title&gt;Seraphim Call Private Collection: episode soundtrack series #2 Margarine Kiki Ippatsu | PICA-7002 - VGMdb&lt;/title&gt;_x000D_
</v>
      </c>
    </row>
    <row r="157" spans="1:6" x14ac:dyDescent="0.75">
      <c r="A157">
        <f t="shared" si="6"/>
        <v>156</v>
      </c>
      <c r="B157" t="str" cm="1">
        <f t="array" ref="B157">INDEX(Albums!C:C,$A157,1)</f>
        <v>5197-2</v>
      </c>
      <c r="C157" t="str" cm="1">
        <f t="array" ref="C157">INDEX(Albums!D:D,$A157,1)</f>
        <v>https://vgmdb.net/album/22042</v>
      </c>
      <c r="D157">
        <f t="shared" si="7"/>
        <v>46</v>
      </c>
      <c r="E157" t="str" cm="1">
        <f t="array" ref="E157">"J:\GitHub\VGMdb\VGMdb_"&amp;INDEX(Albums!C:C,A157,1)&amp;"_Source.html"</f>
        <v>J:\GitHub\VGMdb\VGMdb_5197-2_Source.html</v>
      </c>
      <c r="F157" s="3" t="str" cm="1">
        <f t="array" ref="F157">ReadLineRange(E157,5,5)</f>
        <v xml:space="preserve">&lt;title&gt;serial experiments lain sound track | 5197-2 - VGMdb&lt;/title&gt;_x000D_
</v>
      </c>
    </row>
    <row r="158" spans="1:6" x14ac:dyDescent="0.75">
      <c r="A158">
        <f t="shared" si="6"/>
        <v>157</v>
      </c>
      <c r="B158" t="str" cm="1">
        <f t="array" ref="B158">INDEX(Albums!C:C,$A158,1)</f>
        <v>KICA-144</v>
      </c>
      <c r="C158" t="str" cm="1">
        <f t="array" ref="C158">INDEX(Albums!D:D,$A158,1)</f>
        <v>https://vgmdb.net/album/48415</v>
      </c>
      <c r="D158">
        <f t="shared" si="7"/>
        <v>85</v>
      </c>
      <c r="E158" t="str" cm="1">
        <f t="array" ref="E158">"J:\GitHub\VGMdb\VGMdb_"&amp;INDEX(Albums!C:C,A158,1)&amp;"_Source.html"</f>
        <v>J:\GitHub\VGMdb\VGMdb_KICA-144_Source.html</v>
      </c>
      <c r="F158" s="3" t="str" cm="1">
        <f t="array" ref="F158">ReadLineRange(E158,5,5)</f>
        <v xml:space="preserve">&lt;title&gt;Silent MÃ¶bius Gaiden: Bakumatsu Anpu Shimatsuki Complete Music Collection | KICA-144 - VGMdb&lt;/title&gt;_x000D_
</v>
      </c>
    </row>
    <row r="159" spans="1:6" x14ac:dyDescent="0.75">
      <c r="A159">
        <f t="shared" si="6"/>
        <v>158</v>
      </c>
      <c r="B159" t="str" cm="1">
        <f t="array" ref="B159">INDEX(Albums!C:C,$A159,1)</f>
        <v>KICA-174</v>
      </c>
      <c r="C159" t="str" cm="1">
        <f t="array" ref="C159">INDEX(Albums!D:D,$A159,1)</f>
        <v>https://vgmdb.net/album/83779</v>
      </c>
      <c r="D159">
        <f t="shared" si="7"/>
        <v>76</v>
      </c>
      <c r="E159" t="str" cm="1">
        <f t="array" ref="E159">"J:\GitHub\VGMdb\VGMdb_"&amp;INDEX(Albums!C:C,A159,1)&amp;"_Source.html"</f>
        <v>J:\GitHub\VGMdb\VGMdb_KICA-174_Source.html</v>
      </c>
      <c r="F159" s="3" t="str" cm="1">
        <f t="array" ref="F159">ReadLineRange(E159,5,5)</f>
        <v xml:space="preserve">&lt;title&gt;DENNOU-SYOUJO-KAGEKIDAN: SILENT MÃ–BIUS VS DARK ANGEL VS COMPILER | KICA-174 - VGMdb&lt;/title&gt;_x000D_
</v>
      </c>
    </row>
    <row r="160" spans="1:6" x14ac:dyDescent="0.75">
      <c r="A160">
        <f t="shared" si="6"/>
        <v>159</v>
      </c>
      <c r="B160" t="str" cm="1">
        <f t="array" ref="B160">INDEX(Albums!C:C,$A160,1)</f>
        <v>SXCR-607</v>
      </c>
      <c r="C160" t="str" cm="1">
        <f t="array" ref="C160">INDEX(Albums!D:D,$A160,1)</f>
        <v>https://vgmdb.net/album/91977</v>
      </c>
      <c r="D160">
        <f t="shared" si="7"/>
        <v>87</v>
      </c>
      <c r="E160" t="str" cm="1">
        <f t="array" ref="E160">"J:\GitHub\VGMdb\VGMdb_"&amp;INDEX(Albums!C:C,A160,1)&amp;"_Source.html"</f>
        <v>J:\GitHub\VGMdb\VGMdb_SXCR-607_Source.html</v>
      </c>
      <c r="F160" s="3" t="str" cm="1">
        <f t="array" ref="F160">ReadLineRange(E160,5,5)</f>
        <v xml:space="preserve">&lt;title&gt;Kia Asamiya Presents RETURN of the SILIENT MÃ–BIUS Original Image Soundtrack | SXCR-607 - VGMdb&lt;/title&gt;_x000D_
</v>
      </c>
    </row>
    <row r="161" spans="1:6" x14ac:dyDescent="0.75">
      <c r="A161">
        <f t="shared" si="6"/>
        <v>160</v>
      </c>
      <c r="B161" t="str" cm="1">
        <f t="array" ref="B161">INDEX(Albums!C:C,$A161,1)</f>
        <v>VICL-304</v>
      </c>
      <c r="C161" t="str" cm="1">
        <f t="array" ref="C161">INDEX(Albums!D:D,$A161,1)</f>
        <v>https://vgmdb.net/album/41617</v>
      </c>
      <c r="D161">
        <f t="shared" si="7"/>
        <v>66</v>
      </c>
      <c r="E161" t="str" cm="1">
        <f t="array" ref="E161">"J:\GitHub\VGMdb\VGMdb_"&amp;INDEX(Albums!C:C,A161,1)&amp;"_Source.html"</f>
        <v>J:\GitHub\VGMdb\VGMdb_VICL-304_Source.html</v>
      </c>
      <c r="F161" s="3" t="str" cm="1">
        <f t="array" ref="F161">ReadLineRange(E161,5,5)</f>
        <v xml:space="preserve">&lt;title&gt;SILENT MÃ–BIUS 2 THE MOTION PICTURE ORIGINAL SOUNDTRACK | VICL-304 - VGMdb&lt;/title&gt;_x000D_
</v>
      </c>
    </row>
    <row r="162" spans="1:6" x14ac:dyDescent="0.75">
      <c r="A162">
        <f t="shared" si="6"/>
        <v>161</v>
      </c>
      <c r="B162" t="str" cm="1">
        <f t="array" ref="B162">INDEX(Albums!C:C,$A162,1)</f>
        <v>KTCR-1084</v>
      </c>
      <c r="C162" t="str" cm="1">
        <f t="array" ref="C162">INDEX(Albums!D:D,$A162,1)</f>
        <v>https://vgmdb.net/album/36150</v>
      </c>
      <c r="D162">
        <f t="shared" si="7"/>
        <v>65</v>
      </c>
      <c r="E162" t="str" cm="1">
        <f t="array" ref="E162">"J:\GitHub\VGMdb\VGMdb_"&amp;INDEX(Albums!C:C,A162,1)&amp;"_Source.html"</f>
        <v>J:\GitHub\VGMdb\VGMdb_KTCR-1084_Source.html</v>
      </c>
      <c r="F162" s="3" t="str" cm="1">
        <f t="array" ref="F162">ReadLineRange(E162,5,5)</f>
        <v xml:space="preserve">&lt;title&gt;Silent MÃ¶bius "Oedo Anpu Shimatsuki" Music Collection | KTCR-1084 - VGMdb&lt;/title&gt;_x000D_
</v>
      </c>
    </row>
    <row r="163" spans="1:6" x14ac:dyDescent="0.75">
      <c r="A163">
        <f t="shared" si="6"/>
        <v>162</v>
      </c>
      <c r="B163" t="str" cm="1">
        <f t="array" ref="B163">INDEX(Albums!C:C,$A163,1)</f>
        <v>AYCM-612</v>
      </c>
      <c r="C163" t="str" cm="1">
        <f t="array" ref="C163">INDEX(Albums!D:D,$A163,1)</f>
        <v>https://vgmdb.net/album/39775</v>
      </c>
      <c r="D163">
        <f t="shared" si="7"/>
        <v>92</v>
      </c>
      <c r="E163" t="str" cm="1">
        <f t="array" ref="E163">"J:\GitHub\VGMdb\VGMdb_"&amp;INDEX(Albums!C:C,A163,1)&amp;"_Source.html"</f>
        <v>J:\GitHub\VGMdb\VGMdb_AYCM-612_Source.html</v>
      </c>
      <c r="F163" s="3" t="str" cm="1">
        <f t="array" ref="F163">ReadLineRange(E163,5,5)</f>
        <v xml:space="preserve">&lt;title&gt;SILENT MÃ–BIUS Original Soundtrack Vol.2: International Vocals Version ''MELODY'' | AYCM-612 - VGMdb&lt;/title&gt;_x000D_
</v>
      </c>
    </row>
    <row r="164" spans="1:6" x14ac:dyDescent="0.75">
      <c r="A164">
        <f t="shared" si="6"/>
        <v>163</v>
      </c>
      <c r="B164" t="str" cm="1">
        <f t="array" ref="B164">INDEX(Albums!C:C,$A164,1)</f>
        <v>KICA-265</v>
      </c>
      <c r="C164" t="str" cm="1">
        <f t="array" ref="C164">INDEX(Albums!D:D,$A164,1)</f>
        <v>https://vgmdb.net/album/47324</v>
      </c>
      <c r="D164">
        <f t="shared" si="7"/>
        <v>71</v>
      </c>
      <c r="E164" t="str" cm="1">
        <f t="array" ref="E164">"J:\GitHub\VGMdb\VGMdb_"&amp;INDEX(Albums!C:C,A164,1)&amp;"_Source.html"</f>
        <v>J:\GitHub\VGMdb\VGMdb_KICA-265_Source.html</v>
      </c>
      <c r="F164" s="3" t="str" cm="1">
        <f t="array" ref="F164">ReadLineRange(E164,5,5)</f>
        <v xml:space="preserve">&lt;title&gt;Slayers Etcetera 2 Take a Chance!! Lina to Muteki no Goikkou | KICA-265 - VGMdb&lt;/title&gt;_x000D_
</v>
      </c>
    </row>
    <row r="165" spans="1:6" x14ac:dyDescent="0.75">
      <c r="A165">
        <f t="shared" si="6"/>
        <v>164</v>
      </c>
      <c r="B165" t="str" cm="1">
        <f t="array" ref="B165">INDEX(Albums!C:C,$A165,1)</f>
        <v>KICA-318</v>
      </c>
      <c r="C165" t="str" cm="1">
        <f t="array" ref="C165">INDEX(Albums!D:D,$A165,1)</f>
        <v>https://vgmdb.net/album/48487</v>
      </c>
      <c r="D165">
        <f t="shared" si="7"/>
        <v>49</v>
      </c>
      <c r="E165" t="str" cm="1">
        <f t="array" ref="E165">"J:\GitHub\VGMdb\VGMdb_"&amp;INDEX(Albums!C:C,A165,1)&amp;"_Source.html"</f>
        <v>J:\GitHub\VGMdb\VGMdb_KICA-318_Source.html</v>
      </c>
      <c r="F165" s="3" t="str" cm="1">
        <f t="array" ref="F165">ReadLineRange(E165,5,5)</f>
        <v xml:space="preserve">&lt;title&gt;SLAYERS Special THE MOTION PICTURE "S" | KICA-318 - VGMdb&lt;/title&gt;_x000D_
</v>
      </c>
    </row>
    <row r="166" spans="1:6" x14ac:dyDescent="0.75">
      <c r="A166">
        <f t="shared" si="6"/>
        <v>165</v>
      </c>
      <c r="B166" t="str" cm="1">
        <f t="array" ref="B166">INDEX(Albums!C:C,$A166,1)</f>
        <v>KICA-380</v>
      </c>
      <c r="C166" t="str" cm="1">
        <f t="array" ref="C166">INDEX(Albums!D:D,$A166,1)</f>
        <v>https://vgmdb.net/album/48144</v>
      </c>
      <c r="D166">
        <f t="shared" si="7"/>
        <v>39</v>
      </c>
      <c r="E166" t="str" cm="1">
        <f t="array" ref="E166">"J:\GitHub\VGMdb\VGMdb_"&amp;INDEX(Albums!C:C,A166,1)&amp;"_Source.html"</f>
        <v>J:\GitHub\VGMdb\VGMdb_KICA-380_Source.html</v>
      </c>
      <c r="F166" s="3" t="str" cm="1">
        <f t="array" ref="F166">ReadLineRange(E166,5,5)</f>
        <v xml:space="preserve">&lt;title&gt;SLAYERS TRY TREASURYâ˜†BGM 2 | KICA-380 - VGMdb&lt;/title&gt;_x000D_
</v>
      </c>
    </row>
    <row r="167" spans="1:6" x14ac:dyDescent="0.75">
      <c r="A167">
        <f t="shared" si="6"/>
        <v>166</v>
      </c>
      <c r="B167" t="str" cm="1">
        <f t="array" ref="B167">INDEX(Albums!C:C,$A167,1)</f>
        <v>EPCE-5047</v>
      </c>
      <c r="C167" t="str" cm="1">
        <f t="array" ref="C167">INDEX(Albums!D:D,$A167,1)</f>
        <v>https://vgmdb.net/album/44505</v>
      </c>
      <c r="D167">
        <f t="shared" si="7"/>
        <v>71</v>
      </c>
      <c r="E167" t="str" cm="1">
        <f t="array" ref="E167">"J:\GitHub\VGMdb\VGMdb_"&amp;INDEX(Albums!C:C,A167,1)&amp;"_Source.html"</f>
        <v>J:\GitHub\VGMdb\VGMdb_EPCE-5047_Source.html</v>
      </c>
      <c r="F167" s="3" t="str" cm="1">
        <f t="array" ref="F167">ReadLineRange(E167,5,5)</f>
        <v xml:space="preserve">&lt;title&gt;Sorcerous Stabber Orphen: Revenge Original Soundtrack Part 2 | EPCE-5047 - VGMdb&lt;/title&gt;_x000D_
</v>
      </c>
    </row>
    <row r="168" spans="1:6" x14ac:dyDescent="0.75">
      <c r="A168">
        <f t="shared" si="6"/>
        <v>167</v>
      </c>
      <c r="B168" t="str" cm="1">
        <f t="array" ref="B168">INDEX(Albums!C:C,$A168,1)</f>
        <v>TKCA-72166</v>
      </c>
      <c r="C168" t="str" cm="1">
        <f t="array" ref="C168">INDEX(Albums!D:D,$A168,1)</f>
        <v>https://vgmdb.net/album/25456</v>
      </c>
      <c r="D168">
        <f t="shared" si="7"/>
        <v>44</v>
      </c>
      <c r="E168" t="str" cm="1">
        <f t="array" ref="E168">"J:\GitHub\VGMdb\VGMdb_"&amp;INDEX(Albums!C:C,A168,1)&amp;"_Source.html"</f>
        <v>J:\GitHub\VGMdb\VGMdb_TKCA-72166_Source.html</v>
      </c>
      <c r="F168" s="3" t="str" cm="1">
        <f t="array" ref="F168">ReadLineRange(E168,5,5)</f>
        <v xml:space="preserve">&lt;title&gt;Itsumo Nando Demo/Inochi no Namae | TKCA-72166 - VGMdb&lt;/title&gt;_x000D_
</v>
      </c>
    </row>
    <row r="169" spans="1:6" x14ac:dyDescent="0.75">
      <c r="A169">
        <f t="shared" si="6"/>
        <v>168</v>
      </c>
      <c r="B169" t="str" cm="1">
        <f t="array" ref="B169">INDEX(Albums!C:C,$A169,1)</f>
        <v>KICA-469</v>
      </c>
      <c r="C169" t="str" cm="1">
        <f t="array" ref="C169">INDEX(Albums!D:D,$A169,1)</f>
        <v>https://vgmdb.net/album/23526</v>
      </c>
      <c r="D169">
        <f t="shared" si="7"/>
        <v>48</v>
      </c>
      <c r="E169" t="str" cm="1">
        <f t="array" ref="E169">"J:\GitHub\VGMdb\VGMdb_"&amp;INDEX(Albums!C:C,A169,1)&amp;"_Source.html"</f>
        <v>J:\GitHub\VGMdb\VGMdb_KICA-469_Source.html</v>
      </c>
      <c r="F169" s="3" t="str" cm="1">
        <f t="array" ref="F169">ReadLineRange(E169,5,5)</f>
        <v xml:space="preserve">&lt;title&gt;Starship Girl Yamamoto Yohko Action-1 | KICA-469 - VGMdb&lt;/title&gt;_x000D_
</v>
      </c>
    </row>
    <row r="170" spans="1:6" x14ac:dyDescent="0.75">
      <c r="A170">
        <f t="shared" si="6"/>
        <v>169</v>
      </c>
      <c r="B170" t="str" cm="1">
        <f t="array" ref="B170">INDEX(Albums!C:C,$A170,1)</f>
        <v>KICA-474</v>
      </c>
      <c r="C170" t="str" cm="1">
        <f t="array" ref="C170">INDEX(Albums!D:D,$A170,1)</f>
        <v>https://vgmdb.net/album/23528</v>
      </c>
      <c r="D170">
        <f t="shared" si="7"/>
        <v>48</v>
      </c>
      <c r="E170" t="str" cm="1">
        <f t="array" ref="E170">"J:\GitHub\VGMdb\VGMdb_"&amp;INDEX(Albums!C:C,A170,1)&amp;"_Source.html"</f>
        <v>J:\GitHub\VGMdb\VGMdb_KICA-474_Source.html</v>
      </c>
      <c r="F170" s="3" t="str" cm="1">
        <f t="array" ref="F170">ReadLineRange(E170,5,5)</f>
        <v xml:space="preserve">&lt;title&gt;Starship Girl Yamamoto Yohko Action-2 | KICA-474 - VGMdb&lt;/title&gt;_x000D_
</v>
      </c>
    </row>
    <row r="171" spans="1:6" x14ac:dyDescent="0.75">
      <c r="A171">
        <f t="shared" si="6"/>
        <v>170</v>
      </c>
      <c r="B171" t="str" cm="1">
        <f t="array" ref="B171">INDEX(Albums!C:C,$A171,1)</f>
        <v>KICA-478</v>
      </c>
      <c r="C171" t="str" cm="1">
        <f t="array" ref="C171">INDEX(Albums!D:D,$A171,1)</f>
        <v>https://vgmdb.net/album/23529</v>
      </c>
      <c r="D171">
        <f t="shared" si="7"/>
        <v>48</v>
      </c>
      <c r="E171" t="str" cm="1">
        <f t="array" ref="E171">"J:\GitHub\VGMdb\VGMdb_"&amp;INDEX(Albums!C:C,A171,1)&amp;"_Source.html"</f>
        <v>J:\GitHub\VGMdb\VGMdb_KICA-478_Source.html</v>
      </c>
      <c r="F171" s="3" t="str" cm="1">
        <f t="array" ref="F171">ReadLineRange(E171,5,5)</f>
        <v xml:space="preserve">&lt;title&gt;Starship Girl Yamamoto Yohko Action-3 | KICA-478 - VGMdb&lt;/title&gt;_x000D_
</v>
      </c>
    </row>
    <row r="172" spans="1:6" x14ac:dyDescent="0.75">
      <c r="A172">
        <f t="shared" si="6"/>
        <v>171</v>
      </c>
      <c r="B172" t="str" cm="1">
        <f t="array" ref="B172">INDEX(Albums!C:C,$A172,1)</f>
        <v>32ATC-135</v>
      </c>
      <c r="C172" t="str" cm="1">
        <f t="array" ref="C172">INDEX(Albums!D:D,$A172,1)</f>
        <v>https://vgmdb.net/album/142978</v>
      </c>
      <c r="D172">
        <f t="shared" si="7"/>
        <v>51</v>
      </c>
      <c r="E172" t="str" cm="1">
        <f t="array" ref="E172">"J:\GitHub\VGMdb\VGMdb_"&amp;INDEX(Albums!C:C,A172,1)&amp;"_Source.html"</f>
        <v>J:\GitHub\VGMdb\VGMdb_32ATC-135_Source.html</v>
      </c>
      <c r="F172" s="3" t="str" cm="1">
        <f t="array" ref="F172">ReadLineRange(E172,5,5)</f>
        <v xml:space="preserve">&lt;title&gt;JOE HISAISHI IMAGE ALBUM BEST COLLECTION | 32ATC-135 - VGMdb&lt;/title&gt;_x000D_
</v>
      </c>
    </row>
    <row r="173" spans="1:6" x14ac:dyDescent="0.75">
      <c r="A173">
        <f t="shared" si="6"/>
        <v>172</v>
      </c>
      <c r="B173" t="str" cm="1">
        <f t="array" ref="B173">INDEX(Albums!C:C,$A173,1)</f>
        <v>COCX-32271</v>
      </c>
      <c r="C173" t="str" cm="1">
        <f t="array" ref="C173">INDEX(Albums!D:D,$A173,1)</f>
        <v>https://vgmdb.net/album/24112</v>
      </c>
      <c r="D173">
        <f t="shared" si="7"/>
        <v>49</v>
      </c>
      <c r="E173" t="str" cm="1">
        <f t="array" ref="E173">"J:\GitHub\VGMdb\VGMdb_"&amp;INDEX(Albums!C:C,A173,1)&amp;"_Source.html"</f>
        <v>J:\GitHub\VGMdb\VGMdb_COCX-32271_Source.html</v>
      </c>
      <c r="F173" s="3" t="str" cm="1">
        <f t="array" ref="F173">ReadLineRange(E173,5,5)</f>
        <v xml:space="preserve">&lt;title&gt;SUBMARINE SUPER 99 Original Soundtrack | COCX-32271 - VGMdb&lt;/title&gt;_x000D_
</v>
      </c>
    </row>
    <row r="174" spans="1:6" x14ac:dyDescent="0.75">
      <c r="A174">
        <f t="shared" ref="A174:A198" si="8">A173+1</f>
        <v>173</v>
      </c>
      <c r="B174" t="str" cm="1">
        <f t="array" ref="B174">INDEX(Albums!C:C,$A174,1)</f>
        <v>LACA-5066</v>
      </c>
      <c r="C174" t="str" cm="1">
        <f t="array" ref="C174">INDEX(Albums!D:D,$A174,1)</f>
        <v>https://vgmdb.net/album/67193</v>
      </c>
      <c r="D174">
        <f t="shared" ref="D174:D198" si="9">FIND(B174,F174)</f>
        <v>56</v>
      </c>
      <c r="E174" t="str" cm="1">
        <f t="array" ref="E174">"J:\GitHub\VGMdb\VGMdb_"&amp;INDEX(Albums!C:C,A174,1)&amp;"_Source.html"</f>
        <v>J:\GitHub\VGMdb\VGMdb_LACA-5066_Source.html</v>
      </c>
      <c r="F174" s="3" t="str" cm="1">
        <f t="array" ref="F174">ReadLineRange(E174,5,5)</f>
        <v xml:space="preserve">&lt;title&gt;Super Gals! Kotobuki Ran Original Sound Track | LACA-5066 - VGMdb&lt;/title&gt;_x000D_
</v>
      </c>
    </row>
    <row r="175" spans="1:6" x14ac:dyDescent="0.75">
      <c r="A175">
        <f t="shared" si="8"/>
        <v>174</v>
      </c>
      <c r="B175" t="str" cm="1">
        <f t="array" ref="B175">INDEX(Albums!C:C,$A175,1)</f>
        <v>PICA-1134</v>
      </c>
      <c r="C175" t="str" cm="1">
        <f t="array" ref="C175">INDEX(Albums!D:D,$A175,1)</f>
        <v>https://vgmdb.net/album/58888</v>
      </c>
      <c r="D175">
        <f t="shared" si="9"/>
        <v>98</v>
      </c>
      <c r="E175" t="str" cm="1">
        <f t="array" ref="E175">"J:\GitHub\VGMdb\VGMdb_"&amp;INDEX(Albums!C:C,A175,1)&amp;"_Source.html"</f>
        <v>J:\GitHub\VGMdb\VGMdb_PICA-1134_Source.html</v>
      </c>
      <c r="F175" s="3" t="str" cm="1">
        <f t="array" ref="F175">ReadLineRange(E175,5,5)</f>
        <v xml:space="preserve">&lt;title&gt;HYPER LOVELY MAGICAL TV SERIES MAGICAL GIRL PRETTY SAMY ORIGINAL SOUNDTRACK ALBUM VOL.2 | PICA-1134 - VGMdb&lt;/title&gt;_x000D_
</v>
      </c>
    </row>
    <row r="176" spans="1:6" x14ac:dyDescent="0.75">
      <c r="A176">
        <f t="shared" si="8"/>
        <v>175</v>
      </c>
      <c r="B176" t="str" cm="1">
        <f t="array" ref="B176">INDEX(Albums!C:C,$A176,1)</f>
        <v>PICA-1097</v>
      </c>
      <c r="C176" t="str" cm="1">
        <f t="array" ref="C176">INDEX(Albums!D:D,$A176,1)</f>
        <v>https://vgmdb.net/album/24850</v>
      </c>
      <c r="D176">
        <f t="shared" si="9"/>
        <v>66</v>
      </c>
      <c r="E176" t="str" cm="1">
        <f t="array" ref="E176">"J:\GitHub\VGMdb\VGMdb_"&amp;INDEX(Albums!C:C,A176,1)&amp;"_Source.html"</f>
        <v>J:\GitHub\VGMdb\VGMdb_PICA-1097_Source.html</v>
      </c>
      <c r="F176" s="3" t="str" cm="1">
        <f t="array" ref="F176">ReadLineRange(E176,5,5)</f>
        <v xml:space="preserve">&lt;title&gt;ORIGINAL MOTION PICTURE SOUNDTRACK TENCHI-MUYO! in LOVE | PICA-1097 - VGMdb&lt;/title&gt;_x000D_
</v>
      </c>
    </row>
    <row r="177" spans="1:6" x14ac:dyDescent="0.75">
      <c r="A177">
        <f t="shared" si="8"/>
        <v>176</v>
      </c>
      <c r="B177" t="str" cm="1">
        <f t="array" ref="B177">INDEX(Albums!C:C,$A177,1)</f>
        <v>PICA-1018</v>
      </c>
      <c r="C177" t="str" cm="1">
        <f t="array" ref="C177">INDEX(Albums!D:D,$A177,1)</f>
        <v>https://vgmdb.net/album/46876</v>
      </c>
      <c r="D177">
        <f t="shared" si="9"/>
        <v>77</v>
      </c>
      <c r="E177" t="str" cm="1">
        <f t="array" ref="E177">"J:\GitHub\VGMdb\VGMdb_"&amp;INDEX(Albums!C:C,A177,1)&amp;"_Source.html"</f>
        <v>J:\GitHub\VGMdb\VGMdb_PICA-1018_Source.html</v>
      </c>
      <c r="F177" s="3" t="str" cm="1">
        <f t="array" ref="F177">ReadLineRange(E177,5,5)</f>
        <v xml:space="preserve">&lt;title&gt;Tenchi Muyo! Ryo-ohki CD Special ~Tenchi Kaibyaku Jikuu Michiyuki~ | PICA-1018 - VGMdb&lt;/title&gt;_x000D_
</v>
      </c>
    </row>
    <row r="178" spans="1:6" x14ac:dyDescent="0.75">
      <c r="A178">
        <f t="shared" si="8"/>
        <v>177</v>
      </c>
      <c r="B178" t="str" cm="1">
        <f t="array" ref="B178">INDEX(Albums!C:C,$A178,1)</f>
        <v>PICA-1043</v>
      </c>
      <c r="C178" t="str" cm="1">
        <f t="array" ref="C178">INDEX(Albums!D:D,$A178,1)</f>
        <v>https://vgmdb.net/album/37870</v>
      </c>
      <c r="D178">
        <f t="shared" si="9"/>
        <v>49</v>
      </c>
      <c r="E178" t="str" cm="1">
        <f t="array" ref="E178">"J:\GitHub\VGMdb\VGMdb_"&amp;INDEX(Albums!C:C,A178,1)&amp;"_Source.html"</f>
        <v>J:\GitHub\VGMdb\VGMdb_PICA-1043_Source.html</v>
      </c>
      <c r="F178" s="3" t="str" cm="1">
        <f t="array" ref="F178">ReadLineRange(E178,5,5)</f>
        <v xml:space="preserve">&lt;title&gt;TENCHIMUYO! RYO OH KI ONGAKU HEN VOL.3 | PICA-1043 - VGMdb&lt;/title&gt;_x000D_
</v>
      </c>
    </row>
    <row r="179" spans="1:6" x14ac:dyDescent="0.75">
      <c r="A179">
        <f t="shared" si="8"/>
        <v>178</v>
      </c>
      <c r="B179" t="str" cm="1">
        <f t="array" ref="B179">INDEX(Albums!C:C,$A179,1)</f>
        <v>TKCA-72367</v>
      </c>
      <c r="C179" t="str" cm="1">
        <f t="array" ref="C179">INDEX(Albums!D:D,$A179,1)</f>
        <v>https://vgmdb.net/album/28593</v>
      </c>
      <c r="D179">
        <f t="shared" si="9"/>
        <v>37</v>
      </c>
      <c r="E179" t="str" cm="1">
        <f t="array" ref="E179">"J:\GitHub\VGMdb\VGMdb_"&amp;INDEX(Albums!C:C,A179,1)&amp;"_Source.html"</f>
        <v>J:\GitHub\VGMdb\VGMdb_TKCA-72367_Source.html</v>
      </c>
      <c r="F179" s="3" t="str" cm="1">
        <f t="array" ref="F179">ReadLineRange(E179,5,5)</f>
        <v xml:space="preserve">&lt;title&gt;The Cat Returns Soundtrack | TKCA-72367 - VGMdb&lt;/title&gt;_x000D_
</v>
      </c>
    </row>
    <row r="180" spans="1:6" x14ac:dyDescent="0.75">
      <c r="A180">
        <f t="shared" si="8"/>
        <v>179</v>
      </c>
      <c r="B180" t="str" cm="1">
        <f t="array" ref="B180">INDEX(Albums!C:C,$A180,1)</f>
        <v>PCCG-00106</v>
      </c>
      <c r="C180" t="str" cm="1">
        <f t="array" ref="C180">INDEX(Albums!D:D,$A180,1)</f>
        <v xml:space="preserve">https://vgmdb.net/album/26081 </v>
      </c>
      <c r="D180">
        <f t="shared" si="9"/>
        <v>31</v>
      </c>
      <c r="E180" t="str" cm="1">
        <f t="array" ref="E180">"J:\GitHub\VGMdb\VGMdb_"&amp;INDEX(Albums!C:C,A180,1)&amp;"_Source.html"</f>
        <v>J:\GitHub\VGMdb\VGMdb_PCCG-00106_Source.html</v>
      </c>
      <c r="F180" s="3" t="str" cm="1">
        <f t="array" ref="F180">ReadLineRange(E180,5,5)</f>
        <v xml:space="preserve">&lt;title&gt;Touch Music Flavor 1 | PCCG-00106 - VGMdb&lt;/title&gt;_x000D_
</v>
      </c>
    </row>
    <row r="181" spans="1:6" x14ac:dyDescent="0.75">
      <c r="A181">
        <f t="shared" si="8"/>
        <v>180</v>
      </c>
      <c r="B181" t="str" cm="1">
        <f t="array" ref="B181">INDEX(Albums!C:C,$A181,1)</f>
        <v>KICA-7710</v>
      </c>
      <c r="C181" t="str" cm="1">
        <f t="array" ref="C181">INDEX(Albums!D:D,$A181,1)</f>
        <v>https://vgmdb.net/album/4796</v>
      </c>
      <c r="D181">
        <f t="shared" si="9"/>
        <v>35</v>
      </c>
      <c r="E181" t="str" cm="1">
        <f t="array" ref="E181">"J:\GitHub\VGMdb\VGMdb_"&amp;INDEX(Albums!C:C,A181,1)&amp;"_Source.html"</f>
        <v>J:\GitHub\VGMdb\VGMdb_KICA-7710_Source.html</v>
      </c>
      <c r="F181" s="3" t="str" cm="1">
        <f t="array" ref="F181">ReadLineRange(E181,5,5)</f>
        <v xml:space="preserve">&lt;title&gt;TWINBEE PARADISE 3 Vol.2 | KICA-7710 - VGMdb&lt;/title&gt;_x000D_
</v>
      </c>
    </row>
    <row r="182" spans="1:6" x14ac:dyDescent="0.75">
      <c r="A182">
        <f t="shared" si="8"/>
        <v>181</v>
      </c>
      <c r="B182" t="str" cm="1">
        <f t="array" ref="B182">INDEX(Albums!C:C,$A182,1)</f>
        <v>KICA-7639</v>
      </c>
      <c r="C182" t="str" cm="1">
        <f t="array" ref="C182">INDEX(Albums!D:D,$A182,1)</f>
        <v>https://vgmdb.net/album/2017</v>
      </c>
      <c r="D182">
        <f t="shared" si="9"/>
        <v>39</v>
      </c>
      <c r="E182" t="str" cm="1">
        <f t="array" ref="E182">"J:\GitHub\VGMdb\VGMdb_"&amp;INDEX(Albums!C:C,A182,1)&amp;"_Source.html"</f>
        <v>J:\GitHub\VGMdb\VGMdb_KICA-7639_Source.html</v>
      </c>
      <c r="F182" s="3" t="str" cm="1">
        <f t="array" ref="F182">ReadLineRange(E182,5,5)</f>
        <v xml:space="preserve">&lt;title&gt;Twinbee Paradise -Music Box- | KICA-7639 - VGMdb&lt;/title&gt;_x000D_
</v>
      </c>
    </row>
    <row r="183" spans="1:6" x14ac:dyDescent="0.75">
      <c r="A183">
        <f t="shared" si="8"/>
        <v>182</v>
      </c>
      <c r="B183" t="str" cm="1">
        <f t="array" ref="B183">INDEX(Albums!C:C,$A183,1)</f>
        <v>COCC-11170</v>
      </c>
      <c r="C183" t="str" cm="1">
        <f t="array" ref="C183">INDEX(Albums!D:D,$A183,1)</f>
        <v>https://vgmdb.net/album/15272</v>
      </c>
      <c r="D183">
        <f t="shared" si="9"/>
        <v>59</v>
      </c>
      <c r="E183" t="str" cm="1">
        <f t="array" ref="E183">"J:\GitHub\VGMdb\VGMdb_"&amp;INDEX(Albums!C:C,A183,1)&amp;"_Source.html"</f>
        <v>J:\GitHub\VGMdb\VGMdb_COCC-11170_Source.html</v>
      </c>
      <c r="F183" s="3" t="str" cm="1">
        <f t="array" ref="F183">ReadLineRange(E183,5,5)</f>
        <v xml:space="preserve">&lt;title&gt;Urusei Yatsura: Dear My Friends Music Collection | COCC-11170 - VGMdb&lt;/title&gt;_x000D_
</v>
      </c>
    </row>
    <row r="184" spans="1:6" x14ac:dyDescent="0.75">
      <c r="A184">
        <f t="shared" si="8"/>
        <v>183</v>
      </c>
      <c r="B184" t="str" cm="1">
        <f t="array" ref="B184">INDEX(Albums!C:C,$A184,1)</f>
        <v>COCC-11065</v>
      </c>
      <c r="C184" t="str" cm="1">
        <f t="array" ref="C184">INDEX(Albums!D:D,$A184,1)</f>
        <v>https://vgmdb.net/album/40527</v>
      </c>
      <c r="D184">
        <f t="shared" si="9"/>
        <v>62</v>
      </c>
      <c r="E184" t="str" cm="1">
        <f t="array" ref="E184">"J:\GitHub\VGMdb\VGMdb_"&amp;INDEX(Albums!C:C,A184,1)&amp;"_Source.html"</f>
        <v>J:\GitHub\VGMdb\VGMdb_COCC-11065_Source.html</v>
      </c>
      <c r="F184" s="3" t="str" cm="1">
        <f t="array" ref="F184">ReadLineRange(E184,5,5)</f>
        <v xml:space="preserve">&lt;title&gt;Digital Trip 1800 Urusei Yatura SYNTHESIZER FANTASY | COCC-11065 - VGMdb&lt;/title&gt;_x000D_
</v>
      </c>
    </row>
    <row r="185" spans="1:6" x14ac:dyDescent="0.75">
      <c r="A185">
        <f t="shared" si="8"/>
        <v>184</v>
      </c>
      <c r="B185" t="str" cm="1">
        <f t="array" ref="B185">INDEX(Albums!C:C,$A185,1)</f>
        <v>D32G-0031</v>
      </c>
      <c r="C185" t="str" cm="1">
        <f t="array" ref="C185">INDEX(Albums!D:D,$A185,1)</f>
        <v>https://vgmdb.net/album/28603</v>
      </c>
      <c r="D185">
        <f t="shared" si="9"/>
        <v>43</v>
      </c>
      <c r="E185" t="str" cm="1">
        <f t="array" ref="E185">"J:\GitHub\VGMdb\VGMdb_"&amp;INDEX(Albums!C:C,A185,1)&amp;"_Source.html"</f>
        <v>J:\GitHub\VGMdb\VGMdb_D32G-0031_Source.html</v>
      </c>
      <c r="F185" s="3" t="str" cm="1">
        <f t="array" ref="F185">ReadLineRange(E185,5,5)</f>
        <v xml:space="preserve">&lt;title&gt;Fumi no Lum Song 2 / Fumi Hirano | D32G-0031 - VGMdb&lt;/title&gt;_x000D_
</v>
      </c>
    </row>
    <row r="186" spans="1:6" x14ac:dyDescent="0.75">
      <c r="A186">
        <f t="shared" si="8"/>
        <v>185</v>
      </c>
      <c r="B186" t="str" cm="1">
        <f t="array" ref="B186">INDEX(Albums!C:C,$A186,1)</f>
        <v>COCC-11078</v>
      </c>
      <c r="C186" t="str" cm="1">
        <f t="array" ref="C186">INDEX(Albums!D:D,$A186,1)</f>
        <v>https://vgmdb.net/album/59990</v>
      </c>
      <c r="D186">
        <f t="shared" si="9"/>
        <v>38</v>
      </c>
      <c r="E186" t="str" cm="1">
        <f t="array" ref="E186">"J:\GitHub\VGMdb\VGMdb_"&amp;INDEX(Albums!C:C,A186,1)&amp;"_Source.html"</f>
        <v>J:\GitHub\VGMdb\VGMdb_COCC-11078_Source.html</v>
      </c>
      <c r="F186" s="3" t="str" cm="1">
        <f t="array" ref="F186">ReadLineRange(E186,5,5)</f>
        <v xml:space="preserve">&lt;title&gt;Jam Trip 1800 Urusei Yatura | COCC-11078 - VGMdb&lt;/title&gt;_x000D_
</v>
      </c>
    </row>
    <row r="187" spans="1:6" x14ac:dyDescent="0.75">
      <c r="A187">
        <f t="shared" si="8"/>
        <v>186</v>
      </c>
      <c r="B187" t="str" cm="1">
        <f t="array" ref="B187">INDEX(Albums!C:C,$A187,1)</f>
        <v>H33K-20063</v>
      </c>
      <c r="C187" t="str" cm="1">
        <f t="array" ref="C187">INDEX(Albums!D:D,$A187,1)</f>
        <v>https://vgmdb.net/album/100502</v>
      </c>
      <c r="D187">
        <f t="shared" si="9"/>
        <v>36</v>
      </c>
      <c r="E187" t="str" cm="1">
        <f t="array" ref="E187">"J:\GitHub\VGMdb\VGMdb_"&amp;INDEX(Albums!C:C,A187,1)&amp;"_Source.html"</f>
        <v>J:\GitHub\VGMdb\VGMdb_H33K-20063_Source.html</v>
      </c>
      <c r="F187" s="3" t="str" cm="1">
        <f t="array" ref="F187">ReadLineRange(E187,5,5)</f>
        <v xml:space="preserve">&lt;title&gt;Urusei Yatsura JUKE BOX 2 | H33K-20063 - VGMdb&lt;/title&gt;_x000D_
</v>
      </c>
    </row>
    <row r="188" spans="1:6" x14ac:dyDescent="0.75">
      <c r="A188">
        <f t="shared" si="8"/>
        <v>187</v>
      </c>
      <c r="B188" t="str" cm="1">
        <f t="array" ref="B188">INDEX(Albums!C:C,$A188,1)</f>
        <v>H33K-20005</v>
      </c>
      <c r="C188" t="str" cm="1">
        <f t="array" ref="C188">INDEX(Albums!D:D,$A188,1)</f>
        <v>https://vgmdb.net/album/78537</v>
      </c>
      <c r="D188">
        <f t="shared" si="9"/>
        <v>33</v>
      </c>
      <c r="E188" t="str" cm="1">
        <f t="array" ref="E188">"J:\GitHub\VGMdb\VGMdb_"&amp;INDEX(Albums!C:C,A188,1)&amp;"_Source.html"</f>
        <v>J:\GitHub\VGMdb\VGMdb_H33K-20005_Source.html</v>
      </c>
      <c r="F188" s="3" t="str" cm="1">
        <f t="array" ref="F188">ReadLineRange(E188,5,5)</f>
        <v xml:space="preserve">&lt;title&gt;Urusei Yatsura Jukebox | H33K-20005 - VGMdb&lt;/title&gt;_x000D_
</v>
      </c>
    </row>
    <row r="189" spans="1:6" x14ac:dyDescent="0.75">
      <c r="A189">
        <f t="shared" si="8"/>
        <v>188</v>
      </c>
      <c r="B189" t="str" cm="1">
        <f t="array" ref="B189">INDEX(Albums!C:C,$A189,1)</f>
        <v>KTCR-1297</v>
      </c>
      <c r="C189" t="str" cm="1">
        <f t="array" ref="C189">INDEX(Albums!D:D,$A189,1)</f>
        <v>https://vgmdb.net/album/57606</v>
      </c>
      <c r="D189">
        <f t="shared" si="9"/>
        <v>48</v>
      </c>
      <c r="E189" t="str" cm="1">
        <f t="array" ref="E189">"J:\GitHub\VGMdb\VGMdb_"&amp;INDEX(Albums!C:C,A189,1)&amp;"_Source.html"</f>
        <v>J:\GitHub\VGMdb\VGMdb_KTCR-1297_Source.html</v>
      </c>
      <c r="F189" s="3" t="str" cm="1">
        <f t="array" ref="F189">ReadLineRange(E189,5,5)</f>
        <v xml:space="preserve">&lt;title&gt;Urusei Yatsura Lum's Best Selection 2 | KTCR-1297 - VGMdb&lt;/title&gt;_x000D_
</v>
      </c>
    </row>
    <row r="190" spans="1:6" x14ac:dyDescent="0.75">
      <c r="A190">
        <f t="shared" si="8"/>
        <v>189</v>
      </c>
      <c r="B190" t="str" cm="1">
        <f t="array" ref="B190">INDEX(Albums!C:C,$A190,1)</f>
        <v>KTCR-1246</v>
      </c>
      <c r="C190" t="str" cm="1">
        <f t="array" ref="C190">INDEX(Albums!D:D,$A190,1)</f>
        <v>https://vgmdb.net/album/80296</v>
      </c>
      <c r="D190">
        <f t="shared" si="9"/>
        <v>52</v>
      </c>
      <c r="E190" t="str" cm="1">
        <f t="array" ref="E190">"J:\GitHub\VGMdb\VGMdb_"&amp;INDEX(Albums!C:C,A190,1)&amp;"_Source.html"</f>
        <v>J:\GitHub\VGMdb\VGMdb_KTCR-1246_Source.html</v>
      </c>
      <c r="F190" s="3" t="str" cm="1">
        <f t="array" ref="F190">ReadLineRange(E190,5,5)</f>
        <v xml:space="preserve">&lt;title&gt;URUSEI YATSURA LUM'S â˜…BESTâ˜… SELECTION | KTCR-1246 - VGMdb&lt;/title&gt;_x000D_
</v>
      </c>
    </row>
    <row r="191" spans="1:6" x14ac:dyDescent="0.75">
      <c r="A191">
        <f t="shared" si="8"/>
        <v>190</v>
      </c>
      <c r="B191" t="str" cm="1">
        <f t="array" ref="B191">INDEX(Albums!C:C,$A191,1)</f>
        <v>PCCG-00147</v>
      </c>
      <c r="C191" t="str" cm="1">
        <f t="array" ref="C191">INDEX(Albums!D:D,$A191,1)</f>
        <v>https://vgmdb.net/album/66426</v>
      </c>
      <c r="D191">
        <f t="shared" si="9"/>
        <v>45</v>
      </c>
      <c r="E191" t="str" cm="1">
        <f t="array" ref="E191">"J:\GitHub\VGMdb\VGMdb_"&amp;INDEX(Albums!C:C,A191,1)&amp;"_Source.html"</f>
        <v>J:\GitHub\VGMdb\VGMdb_PCCG-00147_Source.html</v>
      </c>
      <c r="F191" s="3" t="str" cm="1">
        <f t="array" ref="F191">ReadLineRange(E191,5,5)</f>
        <v xml:space="preserve">&lt;title&gt;Urusei Yatsura MUSIC CAPSULE 2 BGM | PCCG-00147 - VGMdb&lt;/title&gt;_x000D_
</v>
      </c>
    </row>
    <row r="192" spans="1:6" x14ac:dyDescent="0.75">
      <c r="A192">
        <f t="shared" si="8"/>
        <v>191</v>
      </c>
      <c r="B192" t="str" cm="1">
        <f t="array" ref="B192">INDEX(Albums!C:C,$A192,1)</f>
        <v>PCCG-00146</v>
      </c>
      <c r="C192" t="str" cm="1">
        <f t="array" ref="C192">INDEX(Albums!D:D,$A192,1)</f>
        <v>https://vgmdb.net/album/51376</v>
      </c>
      <c r="D192">
        <f t="shared" si="9"/>
        <v>39</v>
      </c>
      <c r="E192" t="str" cm="1">
        <f t="array" ref="E192">"J:\GitHub\VGMdb\VGMdb_"&amp;INDEX(Albums!C:C,A192,1)&amp;"_Source.html"</f>
        <v>J:\GitHub\VGMdb\VGMdb_PCCG-00146_Source.html</v>
      </c>
      <c r="F192" s="3" t="str" cm="1">
        <f t="array" ref="F192">ReadLineRange(E192,5,5)</f>
        <v xml:space="preserve">&lt;title&gt;Urusei Yatsura MUSIC CAPSULE | PCCG-00146 - VGMdb&lt;/title&gt;_x000D_
</v>
      </c>
    </row>
    <row r="193" spans="1:6" x14ac:dyDescent="0.75">
      <c r="A193">
        <f t="shared" si="8"/>
        <v>192</v>
      </c>
      <c r="B193" t="str" cm="1">
        <f t="array" ref="B193">INDEX(Albums!C:C,$A193,1)</f>
        <v>KTCR-1088</v>
      </c>
      <c r="C193" t="str" cm="1">
        <f t="array" ref="C193">INDEX(Albums!D:D,$A193,1)</f>
        <v>https://vgmdb.net/album/67401</v>
      </c>
      <c r="D193">
        <f t="shared" si="9"/>
        <v>36</v>
      </c>
      <c r="E193" t="str" cm="1">
        <f t="array" ref="E193">"J:\GitHub\VGMdb\VGMdb_"&amp;INDEX(Albums!C:C,A193,1)&amp;"_Source.html"</f>
        <v>J:\GitHub\VGMdb\VGMdb_KTCR-1088_Source.html</v>
      </c>
      <c r="F193" s="3" t="str" cm="1">
        <f t="array" ref="F193">ReadLineRange(E193,5,5)</f>
        <v xml:space="preserve">&lt;title&gt;Urusei Yatsura MUSIC TOUR | KTCR-1088 - VGMdb&lt;/title&gt;_x000D_
</v>
      </c>
    </row>
    <row r="194" spans="1:6" x14ac:dyDescent="0.75">
      <c r="A194">
        <f t="shared" si="8"/>
        <v>193</v>
      </c>
      <c r="B194" t="str" cm="1">
        <f t="array" ref="B194">INDEX(Albums!C:C,$A194,1)</f>
        <v>H33K-20029</v>
      </c>
      <c r="C194" t="str" cm="1">
        <f t="array" ref="C194">INDEX(Albums!D:D,$A194,1)</f>
        <v>https://vgmdb.net/album/67006</v>
      </c>
      <c r="D194">
        <f t="shared" si="9"/>
        <v>34</v>
      </c>
      <c r="E194" t="str" cm="1">
        <f t="array" ref="E194">"J:\GitHub\VGMdb\VGMdb_"&amp;INDEX(Albums!C:C,A194,1)&amp;"_Source.html"</f>
        <v>J:\GitHub\VGMdb\VGMdb_H33K-20029_Source.html</v>
      </c>
      <c r="F194" s="3" t="str" cm="1">
        <f t="array" ref="F194">ReadLineRange(E194,5,5)</f>
        <v xml:space="preserve">&lt;title&gt;SYMPHONY URUSEI-YATSURA | H33K-20029 - VGMdb&lt;/title&gt;_x000D_
</v>
      </c>
    </row>
    <row r="195" spans="1:6" x14ac:dyDescent="0.75">
      <c r="A195">
        <f t="shared" si="8"/>
        <v>194</v>
      </c>
      <c r="B195" t="str" cm="1">
        <f t="array" ref="B195">INDEX(Albums!C:C,$A195,1)</f>
        <v>KTCR-1089</v>
      </c>
      <c r="C195" t="str" cm="1">
        <f t="array" ref="C195">INDEX(Albums!D:D,$A195,1)</f>
        <v>https://vgmdb.net/album/66557</v>
      </c>
      <c r="D195">
        <f t="shared" si="9"/>
        <v>42</v>
      </c>
      <c r="E195" t="str" cm="1">
        <f t="array" ref="E195">"J:\GitHub\VGMdb\VGMdb_"&amp;INDEX(Albums!C:C,A195,1)&amp;"_Source.html"</f>
        <v>J:\GitHub\VGMdb\VGMdb_KTCR-1089_Source.html</v>
      </c>
      <c r="F195" s="3" t="str" cm="1">
        <f t="array" ref="F195">ReadLineRange(E195,5,5)</f>
        <v xml:space="preserve">&lt;title&gt;Urusei Yatsura THE HIT PARADE 2 | KTCR-1089 - VGMdb&lt;/title&gt;_x000D_
</v>
      </c>
    </row>
    <row r="196" spans="1:6" x14ac:dyDescent="0.75">
      <c r="A196">
        <f t="shared" si="8"/>
        <v>195</v>
      </c>
      <c r="B196" t="str" cm="1">
        <f t="array" ref="B196">INDEX(Albums!C:C,$A196,1)</f>
        <v>KTCR-1087</v>
      </c>
      <c r="C196" t="str" cm="1">
        <f t="array" ref="C196">INDEX(Albums!D:D,$A196,1)</f>
        <v>https://vgmdb.net/album/66433</v>
      </c>
      <c r="D196">
        <f t="shared" si="9"/>
        <v>40</v>
      </c>
      <c r="E196" t="str" cm="1">
        <f t="array" ref="E196">"J:\GitHub\VGMdb\VGMdb_"&amp;INDEX(Albums!C:C,A196,1)&amp;"_Source.html"</f>
        <v>J:\GitHub\VGMdb\VGMdb_KTCR-1087_Source.html</v>
      </c>
      <c r="F196" s="3" t="str" cm="1">
        <f t="array" ref="F196">ReadLineRange(E196,5,5)</f>
        <v xml:space="preserve">&lt;title&gt;Urusei Yatsura THE HIT PARADE | KTCR-1087 - VGMdb&lt;/title&gt;_x000D_
</v>
      </c>
    </row>
    <row r="197" spans="1:6" x14ac:dyDescent="0.75">
      <c r="A197">
        <f t="shared" si="8"/>
        <v>196</v>
      </c>
      <c r="B197" t="str" cm="1">
        <f t="array" ref="B197">INDEX(Albums!C:C,$A197,1)</f>
        <v>H30K-20027</v>
      </c>
      <c r="C197" t="str" cm="1">
        <f t="array" ref="C197">INDEX(Albums!D:D,$A197,1)</f>
        <v>https://vgmdb.net/album/67646</v>
      </c>
      <c r="D197">
        <f t="shared" si="9"/>
        <v>49</v>
      </c>
      <c r="E197" t="str" cm="1">
        <f t="array" ref="E197">"J:\GitHub\VGMdb\VGMdb_"&amp;INDEX(Albums!C:C,A197,1)&amp;"_Source.html"</f>
        <v>J:\GitHub\VGMdb\VGMdb_H30K-20027_Source.html</v>
      </c>
      <c r="F197" s="3" t="str" cm="1">
        <f t="array" ref="F197">ReadLineRange(E197,5,5)</f>
        <v xml:space="preserve">&lt;title&gt;Urusei Yatsura â˜…LUM FOR THE WORLDâ˜… | H30K-20027 - VGMdb&lt;/title&gt;_x000D_
</v>
      </c>
    </row>
    <row r="198" spans="1:6" x14ac:dyDescent="0.75">
      <c r="A198">
        <f t="shared" si="8"/>
        <v>197</v>
      </c>
      <c r="B198" t="str" cm="1">
        <f t="array" ref="B198">INDEX(Albums!C:C,$A198,1)</f>
        <v>H30K-20024</v>
      </c>
      <c r="C198" t="str" cm="1">
        <f t="array" ref="C198">INDEX(Albums!D:D,$A198,1)</f>
        <v>https://vgmdb.net/album/48126</v>
      </c>
      <c r="D198">
        <f t="shared" si="9"/>
        <v>75</v>
      </c>
      <c r="E198" t="str" cm="1">
        <f t="array" ref="E198">"J:\GitHub\VGMdb\VGMdb_"&amp;INDEX(Albums!C:C,A198,1)&amp;"_Source.html"</f>
        <v>J:\GitHub\VGMdb\VGMdb_H30K-20024_Source.html</v>
      </c>
      <c r="F198" s="3" t="str" cm="1">
        <f t="array" ref="F198">ReadLineRange(E198,5,5)</f>
        <v xml:space="preserve">&lt;title&gt;Urusei Yatsura 2 â˜…Beautiful Dreamerâ˜… Movie BGM Collection II | H30K-20024 - VGMdb&lt;/title&gt;_x000D_
</v>
      </c>
    </row>
    <row r="199" spans="1:6" x14ac:dyDescent="0.75">
      <c r="A199">
        <f t="shared" ref="A199:A235" si="10">A198+1</f>
        <v>198</v>
      </c>
      <c r="B199" t="str" cm="1">
        <f t="array" ref="B199">INDEX(Albums!C:C,$A199,1)</f>
        <v>H30K-20025</v>
      </c>
      <c r="C199" t="str" cm="1">
        <f t="array" ref="C199">INDEX(Albums!D:D,$A199,1)</f>
        <v>https://vgmdb.net/album/67947</v>
      </c>
      <c r="D199">
        <f t="shared" ref="D199:D235" si="11">FIND(B199,F199)</f>
        <v>75</v>
      </c>
      <c r="E199" t="str" cm="1">
        <f t="array" ref="E199">"J:\GitHub\VGMdb\VGMdb_"&amp;INDEX(Albums!C:C,A199,1)&amp;"_Source.html"</f>
        <v>J:\GitHub\VGMdb\VGMdb_H30K-20025_Source.html</v>
      </c>
      <c r="F199" s="3" t="str" cm="1">
        <f t="array" ref="F199">ReadLineRange(E199,5,5)</f>
        <v xml:space="preserve">&lt;title&gt;Urusei Yatsura 3 â˜…Remember My Loveâ˜… Movie BGM Collection III | H30K-20025 - VGMdb&lt;/title&gt;_x000D_
</v>
      </c>
    </row>
    <row r="200" spans="1:6" x14ac:dyDescent="0.75">
      <c r="A200">
        <f t="shared" si="10"/>
        <v>199</v>
      </c>
      <c r="B200" t="str" cm="1">
        <f t="array" ref="B200">INDEX(Albums!C:C,$A200,1)</f>
        <v>H30K-20026</v>
      </c>
      <c r="C200" t="str" cm="1">
        <f t="array" ref="C200">INDEX(Albums!D:D,$A200,1)</f>
        <v>https://vgmdb.net/album/100511</v>
      </c>
      <c r="D200">
        <f t="shared" si="11"/>
        <v>73</v>
      </c>
      <c r="E200" t="str" cm="1">
        <f t="array" ref="E200">"J:\GitHub\VGMdb\VGMdb_"&amp;INDEX(Albums!C:C,A200,1)&amp;"_Source.html"</f>
        <v>J:\GitHub\VGMdb\VGMdb_H30K-20026_Source.html</v>
      </c>
      <c r="F200" s="3" t="str" cm="1">
        <f t="array" ref="F200">ReadLineRange(E200,5,5)</f>
        <v xml:space="preserve">&lt;title&gt;Urusei Yatsura 4 â˜…Lum the Foreverâ˜… Movie BGM Collection IV | H30K-20026 - VGMdb&lt;/title&gt;_x000D_
</v>
      </c>
    </row>
    <row r="201" spans="1:6" x14ac:dyDescent="0.75">
      <c r="A201">
        <f t="shared" si="10"/>
        <v>200</v>
      </c>
      <c r="B201" t="str" cm="1">
        <f t="array" ref="B201">INDEX(Albums!C:C,$A201,1)</f>
        <v>H30K-20115</v>
      </c>
      <c r="C201" t="str" cm="1">
        <f t="array" ref="C201">INDEX(Albums!D:D,$A201,1)</f>
        <v>https://vgmdb.net/album/57710</v>
      </c>
      <c r="D201">
        <f t="shared" si="11"/>
        <v>65</v>
      </c>
      <c r="E201" t="str" cm="1">
        <f t="array" ref="E201">"J:\GitHub\VGMdb\VGMdb_"&amp;INDEX(Albums!C:C,A201,1)&amp;"_Source.html"</f>
        <v>J:\GitHub\VGMdb\VGMdb_H30K-20115_Source.html</v>
      </c>
      <c r="F201" s="3" t="str" cm="1">
        <f t="array" ref="F201">ReadLineRange(E201,5,5)</f>
        <v xml:space="preserve">&lt;title&gt;Urusei Yatsura 5 The Final Chapter Original Soundtrack | H30K-20115 - VGMdb&lt;/title&gt;_x000D_
</v>
      </c>
    </row>
    <row r="202" spans="1:6" x14ac:dyDescent="0.75">
      <c r="A202">
        <f t="shared" si="10"/>
        <v>201</v>
      </c>
      <c r="B202" t="str" cm="1">
        <f t="array" ref="B202">INDEX(Albums!C:C,$A202,1)</f>
        <v>H30K-20023</v>
      </c>
      <c r="C202" t="str" cm="1">
        <f t="array" ref="C202">INDEX(Albums!D:D,$A202,1)</f>
        <v>https://vgmdb.net/album/57978</v>
      </c>
      <c r="D202">
        <f t="shared" si="11"/>
        <v>55</v>
      </c>
      <c r="E202" t="str" cm="1">
        <f t="array" ref="E202">"J:\GitHub\VGMdb\VGMdb_"&amp;INDEX(Albums!C:C,A202,1)&amp;"_Source.html"</f>
        <v>J:\GitHub\VGMdb\VGMdb_H30K-20023_Source.html</v>
      </c>
      <c r="F202" s="3" t="str" cm="1">
        <f t="array" ref="F202">ReadLineRange(E202,5,5)</f>
        <v xml:space="preserve">&lt;title&gt;Urusei Yatsura Only You Movie BGM Collection | H30K-20023 - VGMdb&lt;/title&gt;_x000D_
</v>
      </c>
    </row>
    <row r="203" spans="1:6" x14ac:dyDescent="0.75">
      <c r="A203">
        <f t="shared" si="10"/>
        <v>202</v>
      </c>
      <c r="B203" t="str" cm="1">
        <f t="array" ref="B203">INDEX(Albums!C:C,$A203,1)</f>
        <v>KTCR-1131</v>
      </c>
      <c r="C203" t="str" cm="1">
        <f t="array" ref="C203">INDEX(Albums!D:D,$A203,1)</f>
        <v>https://vgmdb.net/album/125213</v>
      </c>
      <c r="D203">
        <f t="shared" si="11"/>
        <v>31</v>
      </c>
      <c r="E203" t="str" cm="1">
        <f t="array" ref="E203">"J:\GitHub\VGMdb\VGMdb_"&amp;INDEX(Albums!C:C,A203,1)&amp;"_Source.html"</f>
        <v>J:\GitHub\VGMdb\VGMdb_KTCR-1131_Source.html</v>
      </c>
      <c r="F203" s="3" t="str" cm="1">
        <f t="array" ref="F203">ReadLineRange(E203,5,5)</f>
        <v xml:space="preserve">&lt;title&gt;URUSEI YATSURA REMIX | KTCR-1131 - VGMdb&lt;/title&gt;_x000D_
</v>
      </c>
    </row>
    <row r="204" spans="1:6" x14ac:dyDescent="0.75">
      <c r="A204">
        <f t="shared" si="10"/>
        <v>203</v>
      </c>
      <c r="B204" t="str" cm="1">
        <f t="array" ref="B204">INDEX(Albums!C:C,$A204,1)</f>
        <v>PCCG-00144</v>
      </c>
      <c r="C204" t="str" cm="1">
        <f t="array" ref="C204">INDEX(Albums!D:D,$A204,1)</f>
        <v>https://vgmdb.net/album/66810</v>
      </c>
      <c r="D204">
        <f t="shared" si="11"/>
        <v>52</v>
      </c>
      <c r="E204" t="str" cm="1">
        <f t="array" ref="E204">"J:\GitHub\VGMdb\VGMdb_"&amp;INDEX(Albums!C:C,A204,1)&amp;"_Source.html"</f>
        <v>J:\GitHub\VGMdb\VGMdb_PCCG-00144_Source.html</v>
      </c>
      <c r="F204" s="3" t="str" cm="1">
        <f t="array" ref="F204">ReadLineRange(E204,5,5)</f>
        <v xml:space="preserve">&lt;title&gt;URUSEI YATSURA SONG BOOKâ˜…Yuko Matsutani | PCCG-00144 - VGMdb&lt;/title&gt;_x000D_
</v>
      </c>
    </row>
    <row r="205" spans="1:6" x14ac:dyDescent="0.75">
      <c r="A205">
        <f t="shared" si="10"/>
        <v>204</v>
      </c>
      <c r="B205" t="str" cm="1">
        <f t="array" ref="B205">INDEX(Albums!C:C,$A205,1)</f>
        <v>SM-217</v>
      </c>
      <c r="C205" t="str" cm="1">
        <f t="array" ref="C205">INDEX(Albums!D:D,$A205,1)</f>
        <v>https://vgmdb.net/album/112521 (TKCA-30734)</v>
      </c>
      <c r="D205" t="e">
        <f t="shared" si="11"/>
        <v>#VALUE!</v>
      </c>
      <c r="E205" t="str" cm="1">
        <f t="array" ref="E205">"J:\GitHub\VGMdb\VGMdb_"&amp;INDEX(Albums!C:C,A205,1)&amp;"_Source.html"</f>
        <v>J:\GitHub\VGMdb\VGMdb_SM-217_Source.html</v>
      </c>
      <c r="F205" s="3" t="str" cm="1">
        <f t="array" ref="F205">ReadLineRange(E205,5,5)</f>
        <v xml:space="preserve">&lt;title&gt;ANIMAGE MEMORIAL COLLECTION | TKCA-30734 - VGMdb&lt;/title&gt;_x000D_
</v>
      </c>
    </row>
    <row r="206" spans="1:6" x14ac:dyDescent="0.75">
      <c r="A206">
        <f t="shared" si="10"/>
        <v>205</v>
      </c>
      <c r="B206" t="str" cm="1">
        <f t="array" ref="B206">INDEX(Albums!C:C,$A206,1)</f>
        <v>VICL-281</v>
      </c>
      <c r="C206" t="str" cm="1">
        <f t="array" ref="C206">INDEX(Albums!D:D,$A206,1)</f>
        <v>https://vgmdb.net/album/22825</v>
      </c>
      <c r="D206">
        <f t="shared" si="11"/>
        <v>24</v>
      </c>
      <c r="E206" t="str" cm="1">
        <f t="array" ref="E206">"J:\GitHub\VGMdb\VGMdb_"&amp;INDEX(Albums!C:C,A206,1)&amp;"_Source.html"</f>
        <v>J:\GitHub\VGMdb\VGMdb_VICL-281_Source.html</v>
      </c>
      <c r="F206" s="3" t="str" cm="1">
        <f t="array" ref="F206">ReadLineRange(E206,5,5)</f>
        <v xml:space="preserve">&lt;title&gt;Video Girl Ai | VICL-281 - VGMdb&lt;/title&gt;_x000D_
</v>
      </c>
    </row>
    <row r="207" spans="1:6" x14ac:dyDescent="0.75">
      <c r="A207">
        <f t="shared" si="10"/>
        <v>206</v>
      </c>
      <c r="B207" t="str" cm="1">
        <f t="array" ref="B207">INDEX(Albums!C:C,$A207,1)</f>
        <v>VICL-60135</v>
      </c>
      <c r="C207" t="str" cm="1">
        <f t="array" ref="C207">INDEX(Albums!D:D,$A207,1)</f>
        <v>https://vgmdb.net/album/58113</v>
      </c>
      <c r="D207">
        <f t="shared" si="11"/>
        <v>51</v>
      </c>
      <c r="E207" t="str" cm="1">
        <f t="array" ref="E207">"J:\GitHub\VGMdb\VGMdb_"&amp;INDEX(Albums!C:C,A207,1)&amp;"_Source.html"</f>
        <v>J:\GitHub\VGMdb\VGMdb_VICL-60135_Source.html</v>
      </c>
      <c r="F207" s="3" t="str" cm="1">
        <f t="array" ref="F207">ReadLineRange(E207,5,5)</f>
        <v xml:space="preserve">&lt;title&gt;Chou Mashin Eiyuuden Wataru Ongakuhen II | VICL-60135 - VGMdb&lt;/title&gt;_x000D_
</v>
      </c>
    </row>
    <row r="208" spans="1:6" x14ac:dyDescent="0.75">
      <c r="A208">
        <f t="shared" si="10"/>
        <v>207</v>
      </c>
      <c r="B208" t="str" cm="1">
        <f t="array" ref="B208">INDEX(Albums!C:C,$A208,1)</f>
        <v>SM-303</v>
      </c>
      <c r="C208" t="str" cm="1">
        <f t="array" ref="C208">INDEX(Albums!D:D,$A208,1)</f>
        <v>https://vgmdb.net/album/79331 (VICL-486)</v>
      </c>
      <c r="D208" t="e">
        <f t="shared" si="11"/>
        <v>#VALUE!</v>
      </c>
      <c r="E208" t="str" cm="1">
        <f t="array" ref="E208">"J:\GitHub\VGMdb\VGMdb_"&amp;INDEX(Albums!C:C,A208,1)&amp;"_Source.html"</f>
        <v>J:\GitHub\VGMdb\VGMdb_SM-303_Source.html</v>
      </c>
      <c r="F208" s="3" t="str" cm="1">
        <f t="array" ref="F208">ReadLineRange(E208,5,5)</f>
        <v xml:space="preserve">&lt;title&gt;Mashin Eiyuuden Wataru 4 Ongakuhen | VICL-486 - VGMdb&lt;/title&gt;_x000D_
</v>
      </c>
    </row>
    <row r="209" spans="1:6" x14ac:dyDescent="0.75">
      <c r="A209">
        <f t="shared" si="10"/>
        <v>208</v>
      </c>
      <c r="B209" t="str" cm="1">
        <f t="array" ref="B209">INDEX(Albums!C:C,$A209,1)</f>
        <v>VICL-61082</v>
      </c>
      <c r="C209" t="str" cm="1">
        <f t="array" ref="C209">INDEX(Albums!D:D,$A209,1)</f>
        <v>https://vgmdb.net/album/19107</v>
      </c>
      <c r="D209">
        <f t="shared" si="11"/>
        <v>22</v>
      </c>
      <c r="E209" t="str" cm="1">
        <f t="array" ref="E209">"J:\GitHub\VGMdb\VGMdb_"&amp;INDEX(Albums!C:C,A209,1)&amp;"_Source.html"</f>
        <v>J:\GitHub\VGMdb\VGMdb_VICL-61082_Source.html</v>
      </c>
      <c r="F209" s="3" t="str" cm="1">
        <f t="array" ref="F209">ReadLineRange(E209,5,5)</f>
        <v xml:space="preserve">&lt;title&gt;WOLF'S RAIN | VICL-61082 - VGMdb&lt;/title&gt;_x000D_
</v>
      </c>
    </row>
    <row r="210" spans="1:6" x14ac:dyDescent="0.75">
      <c r="A210">
        <f t="shared" si="10"/>
        <v>209</v>
      </c>
      <c r="B210" t="str" cm="1">
        <f t="array" ref="B210">INDEX(Albums!C:C,$A210,1)</f>
        <v>MICA-0480</v>
      </c>
      <c r="C210" t="str" cm="1">
        <f t="array" ref="C210">INDEX(Albums!D:D,$A210,1)</f>
        <v>https://vgmdb.net/album/33822 (SVWC-7243)</v>
      </c>
      <c r="D210" t="e">
        <f t="shared" si="11"/>
        <v>#VALUE!</v>
      </c>
      <c r="E210" t="str" cm="1">
        <f t="array" ref="E210">"J:\GitHub\VGMdb\VGMdb_"&amp;INDEX(Albums!C:C,A210,1)&amp;"_Source.html"</f>
        <v>J:\GitHub\VGMdb\VGMdb_MICA-0480_Source.html</v>
      </c>
      <c r="F210" s="3" t="str" cm="1">
        <f t="array" ref="F210">ReadLineRange(E210,5,5)</f>
        <v xml:space="preserve">&lt;title&gt;Yakitate!! JAPAN Original Soundtrack | SVWC-7243 - VGMdb&lt;/title&gt;_x000D_
</v>
      </c>
    </row>
    <row r="211" spans="1:6" x14ac:dyDescent="0.75">
      <c r="A211">
        <f t="shared" si="10"/>
        <v>210</v>
      </c>
      <c r="B211" t="str" cm="1">
        <f t="array" ref="B211">INDEX(Albums!C:C,$A211,1)</f>
        <v>MICA-0583</v>
      </c>
      <c r="C211" t="str" cm="1">
        <f t="array" ref="C211">INDEX(Albums!D:D,$A211,1)</f>
        <v>https://vgmdb.net/album/33869</v>
      </c>
      <c r="D211">
        <f t="shared" si="11"/>
        <v>49</v>
      </c>
      <c r="E211" t="str" cm="1">
        <f t="array" ref="E211">"J:\GitHub\VGMdb\VGMdb_"&amp;INDEX(Albums!C:C,A211,1)&amp;"_Source.html"</f>
        <v>J:\GitHub\VGMdb\VGMdb_MICA-0583_Source.html</v>
      </c>
      <c r="F211" s="3" t="str" cm="1">
        <f t="array" ref="F211">ReadLineRange(E211,5,5)</f>
        <v xml:space="preserve">&lt;title&gt;Yakitate!! JAPAN Original Soundtrack 2 | MICA-0583 - VGMdb&lt;/title&gt;_x000D_
</v>
      </c>
    </row>
    <row r="212" spans="1:6" x14ac:dyDescent="0.75">
      <c r="A212">
        <f t="shared" si="10"/>
        <v>211</v>
      </c>
      <c r="B212" t="str" cm="1">
        <f t="array" ref="B212">INDEX(Albums!C:C,$A212,1)</f>
        <v>GNCA-1042</v>
      </c>
      <c r="C212" t="str" cm="1">
        <f t="array" ref="C212">INDEX(Albums!D:D,$A212,1)</f>
        <v>https://vgmdb.net/album/31148</v>
      </c>
      <c r="D212">
        <f t="shared" si="11"/>
        <v>22</v>
      </c>
      <c r="E212" t="str" cm="1">
        <f t="array" ref="E212">"J:\GitHub\VGMdb\VGMdb_"&amp;INDEX(Albums!C:C,A212,1)&amp;"_Source.html"</f>
        <v>J:\GitHub\VGMdb\VGMdb_GNCA-1042_Source.html</v>
      </c>
      <c r="F212" s="3" t="str" cm="1">
        <f t="array" ref="F212">ReadLineRange(E212,5,5)</f>
        <v xml:space="preserve">&lt;title&gt;YOTSUBA&amp;â™ª | GNCA-1042 - VGMdb&lt;/title&gt;_x000D_
</v>
      </c>
    </row>
    <row r="213" spans="1:6" x14ac:dyDescent="0.75">
      <c r="A213">
        <f t="shared" si="10"/>
        <v>212</v>
      </c>
      <c r="B213" t="str" cm="1">
        <f t="array" ref="B213">INDEX(Albums!C:C,$A213,1)</f>
        <v>VICL-608</v>
      </c>
      <c r="C213" t="str" cm="1">
        <f t="array" ref="C213">INDEX(Albums!D:D,$A213,1)</f>
        <v>https://vgmdb.net/album/47147</v>
      </c>
      <c r="D213">
        <f t="shared" si="11"/>
        <v>61</v>
      </c>
      <c r="E213" t="str" cm="1">
        <f t="array" ref="E213">"J:\GitHub\VGMdb\VGMdb_"&amp;INDEX(Albums!C:C,A213,1)&amp;"_Source.html"</f>
        <v>J:\GitHub\VGMdb\VGMdb_VICL-608_Source.html</v>
      </c>
      <c r="F213" s="3" t="str" cm="1">
        <f t="array" ref="F213">ReadLineRange(E213,5,5)</f>
        <v xml:space="preserve">&lt;title&gt;Taiho Shichauzo Character Songs ~Utau Keisatsukan~ | VICL-608 - VGMdb&lt;/title&gt;_x000D_
</v>
      </c>
    </row>
    <row r="214" spans="1:6" x14ac:dyDescent="0.75">
      <c r="A214">
        <f t="shared" si="10"/>
        <v>213</v>
      </c>
      <c r="B214" t="str" cm="1">
        <f t="array" ref="B214">INDEX(Albums!C:C,$A214,1)</f>
        <v>GGG-015</v>
      </c>
      <c r="C214" t="str" cm="1">
        <f t="array" ref="C214">INDEX(Albums!D:D,$A214,1)</f>
        <v>https://vgmdb.net/album/75307</v>
      </c>
      <c r="D214">
        <f t="shared" si="11"/>
        <v>49</v>
      </c>
      <c r="E214" t="str" cm="1">
        <f t="array" ref="E214">"J:\GitHub\VGMdb\VGMdb_"&amp;INDEX(Albums!C:C,A214,1)&amp;"_Source.html"</f>
        <v>J:\GitHub\VGMdb\VGMdb_GGG-015_Source.html</v>
      </c>
      <c r="F214" s="3" t="str" cm="1">
        <f t="array" ref="F214">ReadLineRange(E214,5,5)</f>
        <v xml:space="preserve">&lt;title&gt;Taiho Shichauzo ORIGINAL SOUND TRACK I | GGG-015 - VGMdb&lt;/title&gt;_x000D_
</v>
      </c>
    </row>
    <row r="215" spans="1:6" x14ac:dyDescent="0.75">
      <c r="A215">
        <f t="shared" si="10"/>
        <v>214</v>
      </c>
      <c r="B215" t="str" cm="1">
        <f t="array" ref="B215">INDEX(Albums!C:C,$A215,1)</f>
        <v>VICL-2138</v>
      </c>
      <c r="C215" t="str" cm="1">
        <f t="array" ref="C215">INDEX(Albums!D:D,$A215,1)</f>
        <v>https://vgmdb.net/album/47801</v>
      </c>
      <c r="D215">
        <f t="shared" si="11"/>
        <v>42</v>
      </c>
      <c r="E215" t="str" cm="1">
        <f t="array" ref="E215">"J:\GitHub\VGMdb\VGMdb_"&amp;INDEX(Albums!C:C,A215,1)&amp;"_Source.html"</f>
        <v>J:\GitHub\VGMdb\VGMdb_VICL-2138_Source.html</v>
      </c>
      <c r="F215" s="3" t="str" cm="1">
        <f t="array" ref="F215">ReadLineRange(E215,5,5)</f>
        <v xml:space="preserve">&lt;title&gt;YOU'RE UNDER ARREST Miyuki FILE | VICL-2138 - VGMdb&lt;/title&gt;_x000D_
</v>
      </c>
    </row>
    <row r="216" spans="1:6" x14ac:dyDescent="0.75">
      <c r="A216">
        <f t="shared" si="10"/>
        <v>215</v>
      </c>
      <c r="B216" t="str" cm="1">
        <f t="array" ref="B216">INDEX(Albums!C:C,$A216,1)</f>
        <v>TYCY-5219</v>
      </c>
      <c r="C216" t="str" cm="1">
        <f t="array" ref="C216">INDEX(Albums!D:D,$A216,1)</f>
        <v>https://vgmdb.net/album/44988</v>
      </c>
      <c r="D216">
        <f t="shared" si="11"/>
        <v>60</v>
      </c>
      <c r="E216" t="str" cm="1">
        <f t="array" ref="E216">"J:\GitHub\VGMdb\VGMdb_"&amp;INDEX(Albums!C:C,A216,1)&amp;"_Source.html"</f>
        <v>J:\GitHub\VGMdb\VGMdb_TYCY-5219_Source.html</v>
      </c>
      <c r="F216" s="3" t="str" cm="1">
        <f t="array" ref="F216">ReadLineRange(E216,5,5)</f>
        <v xml:space="preserve">&lt;title&gt;Zettai Muteki Raijin-Oh III Original Soundtrack 2 | TYCY-5219 - VGMdb&lt;/title&gt;_x000D_
</v>
      </c>
    </row>
    <row r="217" spans="1:6" x14ac:dyDescent="0.75">
      <c r="A217">
        <f t="shared" si="10"/>
        <v>216</v>
      </c>
      <c r="B217" t="str" cm="1">
        <f t="array" ref="B217">INDEX(Albums!C:C,$A217,1)</f>
        <v>PCCG-00457</v>
      </c>
      <c r="C217" t="str" cm="1">
        <f t="array" ref="C217">INDEX(Albums!D:D,$A217,1)</f>
        <v>https://vgmdb.net/album/63834</v>
      </c>
      <c r="D217">
        <f t="shared" si="11"/>
        <v>68</v>
      </c>
      <c r="E217" t="str" cm="1">
        <f t="array" ref="E217">"J:\GitHub\VGMdb\VGMdb_"&amp;INDEX(Albums!C:C,A217,1)&amp;"_Source.html"</f>
        <v>J:\GitHub\VGMdb\VGMdb_PCCG-00457_Source.html</v>
      </c>
      <c r="F217" s="3" t="str" cm="1">
        <f t="array" ref="F217">ReadLineRange(E217,5,5)</f>
        <v xml:space="preserve">&lt;title&gt;Aa Megamisama Chicchaitte Koto wa Ochi 100 Renpatsu da ne | PCCG-00457 - VGMdb&lt;/title&gt;_x000D_
</v>
      </c>
    </row>
    <row r="218" spans="1:6" x14ac:dyDescent="0.75">
      <c r="A218">
        <f t="shared" si="10"/>
        <v>217</v>
      </c>
      <c r="B218" t="str" cm="1">
        <f t="array" ref="B218">INDEX(Albums!C:C,$A218,1)</f>
        <v>PCCG-00487</v>
      </c>
      <c r="C218" t="str" cm="1">
        <f t="array" ref="C218">INDEX(Albums!D:D,$A218,1)</f>
        <v>https://vgmdb.net/album/63644</v>
      </c>
      <c r="D218">
        <f t="shared" si="11"/>
        <v>65</v>
      </c>
      <c r="E218" t="str" cm="1">
        <f t="array" ref="E218">"J:\GitHub\VGMdb\VGMdb_"&amp;INDEX(Albums!C:C,A218,1)&amp;"_Source.html"</f>
        <v>J:\GitHub\VGMdb\VGMdb_PCCG-00487_Source.html</v>
      </c>
      <c r="F218" s="3" t="str" cm="1">
        <f t="array" ref="F218">ReadLineRange(E218,5,5)</f>
        <v xml:space="preserve">&lt;title&gt;Aa Megamisama Ongakuhen 2-tte Koto wa â™ªTsuzuki da ne | PCCG-00487 - VGMdb&lt;/title&gt;_x000D_
</v>
      </c>
    </row>
    <row r="219" spans="1:6" x14ac:dyDescent="0.75">
      <c r="A219">
        <f t="shared" si="10"/>
        <v>218</v>
      </c>
      <c r="B219" t="str" cm="1">
        <f t="array" ref="B219">INDEX(Albums!C:C,$A219,1)</f>
        <v>KICA-107</v>
      </c>
      <c r="C219" t="str" cm="1">
        <f t="array" ref="C219">INDEX(Albums!D:D,$A219,1)</f>
        <v>https://vgmdb.net/album/63866</v>
      </c>
      <c r="D219">
        <f t="shared" si="11"/>
        <v>29</v>
      </c>
      <c r="E219" t="str" cm="1">
        <f t="array" ref="E219">"J:\GitHub\VGMdb\VGMdb_"&amp;INDEX(Albums!C:C,A219,1)&amp;"_Source.html"</f>
        <v>J:\GitHub\VGMdb\VGMdb_KICA-107_Source.html</v>
      </c>
      <c r="F219" s="3" t="str" cm="1">
        <f t="array" ref="F219">ReadLineRange(E219,5,5)</f>
        <v xml:space="preserve">&lt;title&gt;3x3 EYES Chapter 3 | KICA-107 - VGMdb&lt;/title&gt;_x000D_
</v>
      </c>
    </row>
    <row r="220" spans="1:6" x14ac:dyDescent="0.75">
      <c r="A220">
        <f t="shared" si="10"/>
        <v>219</v>
      </c>
      <c r="B220" t="str" cm="1">
        <f t="array" ref="B220">INDEX(Albums!C:C,$A220,1)</f>
        <v>KICA-305</v>
      </c>
      <c r="C220" t="str" cm="1">
        <f t="array" ref="C220">INDEX(Albums!D:D,$A220,1)</f>
        <v>https://vgmdb.net/album/44593</v>
      </c>
      <c r="D220">
        <f t="shared" si="11"/>
        <v>54</v>
      </c>
      <c r="E220" t="str" cm="1">
        <f t="array" ref="E220">"J:\GitHub\VGMdb\VGMdb_"&amp;INDEX(Albums!C:C,A220,1)&amp;"_Source.html"</f>
        <v>J:\GitHub\VGMdb\VGMdb_KICA-305_Source.html</v>
      </c>
      <c r="F220" s="3" t="str" cm="1">
        <f t="array" ref="F220">ReadLineRange(E220,5,5)</f>
        <v xml:space="preserve">&lt;title&gt;3x3 EYES Seima Densetsu Matsuei Fudanshi II | KICA-305 - VGMdb&lt;/title&gt;_x000D_
</v>
      </c>
    </row>
    <row r="221" spans="1:6" x14ac:dyDescent="0.75">
      <c r="A221">
        <f t="shared" si="10"/>
        <v>220</v>
      </c>
      <c r="B221" t="str" cm="1">
        <f t="array" ref="B221">INDEX(Albums!C:C,$A221,1)</f>
        <v>COCC-15190~1</v>
      </c>
      <c r="C221" t="str" cm="1">
        <f t="array" ref="C221">INDEX(Albums!D:D,$A221,1)</f>
        <v>https://vgmdb.net/album/69773</v>
      </c>
      <c r="D221">
        <f t="shared" si="11"/>
        <v>30</v>
      </c>
      <c r="E221" t="str" cm="1">
        <f t="array" ref="E221">"J:\GitHub\VGMdb\VGMdb_"&amp;INDEX(Albums!C:C,A221,1)&amp;"_Source.html"</f>
        <v>J:\GitHub\VGMdb\VGMdb_COCC-15190~1_Source.html</v>
      </c>
      <c r="F221" s="3" t="str" cm="1">
        <f t="array" ref="F221">ReadLineRange(E221,5,5)</f>
        <v xml:space="preserve">&lt;title&gt;Doraemon Hit Parade | COCC-15190~1 - VGMdb&lt;/title&gt;_x000D_
</v>
      </c>
    </row>
    <row r="222" spans="1:6" x14ac:dyDescent="0.75">
      <c r="A222">
        <f t="shared" si="10"/>
        <v>221</v>
      </c>
      <c r="B222" t="str" cm="1">
        <f t="array" ref="B222">INDEX(Albums!C:C,$A222,1)</f>
        <v>VICL-40077~8</v>
      </c>
      <c r="C222" t="str" cm="1">
        <f t="array" ref="C222">INDEX(Albums!D:D,$A222,1)</f>
        <v>https://vgmdb.net/album/116855</v>
      </c>
      <c r="D222">
        <f t="shared" si="11"/>
        <v>51</v>
      </c>
      <c r="E222" t="str" cm="1">
        <f t="array" ref="E222">"J:\GitHub\VGMdb\VGMdb_"&amp;INDEX(Albums!C:C,A222,1)&amp;"_Source.html"</f>
        <v>J:\GitHub\VGMdb\VGMdb_VICL-40077~8_Source.html</v>
      </c>
      <c r="F222" s="3" t="str" cm="1">
        <f t="array" ref="F222">ReadLineRange(E222,5,5)</f>
        <v xml:space="preserve">&lt;title&gt;HERE IS GREEN WOOD VOCAL BEST COLLECTION | VICL-40077~8 - VGMdb&lt;/title&gt;_x000D_
</v>
      </c>
    </row>
    <row r="223" spans="1:6" x14ac:dyDescent="0.75">
      <c r="A223">
        <f t="shared" si="10"/>
        <v>222</v>
      </c>
      <c r="B223" t="str" cm="1">
        <f t="array" ref="B223">INDEX(Albums!C:C,$A223,1)</f>
        <v>SM-233</v>
      </c>
      <c r="C223" t="str" cm="1">
        <f t="array" ref="C223">INDEX(Albums!D:D,$A223,1)</f>
        <v>https://vgmdb.net/album/129427 (KACD-1016)</v>
      </c>
      <c r="D223" t="e">
        <f t="shared" si="11"/>
        <v>#VALUE!</v>
      </c>
      <c r="E223" t="str" cm="1">
        <f t="array" ref="E223">"J:\GitHub\VGMdb\VGMdb_"&amp;INDEX(Albums!C:C,A223,1)&amp;"_Source.html"</f>
        <v>J:\GitHub\VGMdb\VGMdb_SM-233_Source.html</v>
      </c>
      <c r="F223" s="3" t="str" cm="1">
        <f t="array" ref="F223">ReadLineRange(E223,5,5)</f>
        <v xml:space="preserve">&lt;title&gt;MAISON IKKOKU MUSIC CALENDAR 1993 | KACD-1016 - VGMdb&lt;/title&gt;_x000D_
</v>
      </c>
    </row>
    <row r="224" spans="1:6" x14ac:dyDescent="0.75">
      <c r="A224">
        <f t="shared" si="10"/>
        <v>223</v>
      </c>
      <c r="B224" t="str" cm="1">
        <f t="array" ref="B224">INDEX(Albums!C:C,$A224,1)</f>
        <v>GM-430</v>
      </c>
      <c r="C224" t="str" cm="1">
        <f t="array" ref="C224">INDEX(Albums!D:D,$A224,1)</f>
        <v>https://vgmdb.net/album/2434 (MJCG-80043)</v>
      </c>
      <c r="D224" t="e">
        <f t="shared" si="11"/>
        <v>#VALUE!</v>
      </c>
      <c r="E224" t="str" cm="1">
        <f t="array" ref="E224">"J:\GitHub\VGMdb\VGMdb_"&amp;INDEX(Albums!C:C,A224,1)&amp;"_Source.html"</f>
        <v>J:\GitHub\VGMdb\VGMdb_GM-430_Source.html</v>
      </c>
      <c r="F224" s="3" t="str" cm="1">
        <f t="array" ref="F224">ReadLineRange(E224,5,5)</f>
        <v xml:space="preserve">&lt;title&gt;Napple Tale Illustrated Guide to the Monsters | MJCG-80043 - VGMdb&lt;/title&gt;_x000D_
</v>
      </c>
    </row>
    <row r="225" spans="1:6" x14ac:dyDescent="0.75">
      <c r="A225">
        <f t="shared" si="10"/>
        <v>224</v>
      </c>
      <c r="B225" t="str" cm="1">
        <f t="array" ref="B225">INDEX(Albums!C:C,$A225,1)</f>
        <v>SM-387</v>
      </c>
      <c r="C225" t="str" cm="1">
        <f t="array" ref="C225">INDEX(Albums!D:D,$A225,1)</f>
        <v>https://vgmdb.net/album/150707 (PCCA-00695)</v>
      </c>
      <c r="D225" t="e">
        <f t="shared" si="11"/>
        <v>#VALUE!</v>
      </c>
      <c r="E225" t="str" cm="1">
        <f t="array" ref="E225">"J:\GitHub\VGMdb\VGMdb_"&amp;INDEX(Albums!C:C,A225,1)&amp;"_Source.html"</f>
        <v>J:\GitHub\VGMdb\VGMdb_SM-387_Source.html</v>
      </c>
      <c r="F225" s="3" t="str" cm="1">
        <f t="array" ref="F225">ReadLineRange(E225,5,5)</f>
        <v xml:space="preserve">&lt;title&gt;"Nintama Rantarou" Original Soundtrack | PCCA-00695 - VGMdb&lt;/title&gt;_x000D_
</v>
      </c>
    </row>
    <row r="226" spans="1:6" x14ac:dyDescent="0.75">
      <c r="A226">
        <f t="shared" si="10"/>
        <v>225</v>
      </c>
      <c r="B226" t="str" cm="1">
        <f t="array" ref="B226">INDEX(Albums!C:C,$A226,1)</f>
        <v>SM-291~292</v>
      </c>
      <c r="C226" t="str" cm="1">
        <f t="array" ref="C226">INDEX(Albums!D:D,$A226,1)</f>
        <v>https://vgmdb.net/album/57653 (KICA-203~4)</v>
      </c>
      <c r="D226" t="e">
        <f t="shared" si="11"/>
        <v>#VALUE!</v>
      </c>
      <c r="E226" t="str" cm="1">
        <f t="array" ref="E226">"J:\GitHub\VGMdb\VGMdb_"&amp;INDEX(Albums!C:C,A226,1)&amp;"_Source.html"</f>
        <v>J:\GitHub\VGMdb\VGMdb_SM-291~292_Source.html</v>
      </c>
      <c r="F226" s="3" t="str" cm="1">
        <f t="array" ref="F226">ReadLineRange(E226,5,5)</f>
        <v xml:space="preserve">&lt;title&gt;BANNOU BUNKA NEKO MUSUME - HOSEKI BAKO | KICA-203~4 - VGMdb&lt;/title&gt;_x000D_
</v>
      </c>
    </row>
    <row r="227" spans="1:6" x14ac:dyDescent="0.75">
      <c r="A227">
        <f t="shared" si="10"/>
        <v>226</v>
      </c>
      <c r="B227" t="str" cm="1">
        <f t="array" ref="B227">INDEX(Albums!C:C,$A227,1)</f>
        <v>SM-20</v>
      </c>
      <c r="C227" t="str" cm="1">
        <f t="array" ref="C227">INDEX(Albums!D:D,$A227,1)</f>
        <v>https://vgmdb.net/album/19263 (TKCA-30331)</v>
      </c>
      <c r="D227" t="e">
        <f t="shared" si="11"/>
        <v>#VALUE!</v>
      </c>
      <c r="E227" t="str" cm="1">
        <f t="array" ref="E227">"J:\GitHub\VGMdb\VGMdb_"&amp;INDEX(Albums!C:C,A227,1)&amp;"_Source.html"</f>
        <v>J:\GitHub\VGMdb\VGMdb_SM-20_Source.html</v>
      </c>
      <c r="F227" s="3" t="str" cm="1">
        <f t="array" ref="F227">ReadLineRange(E227,5,5)</f>
        <v xml:space="preserve">&lt;title&gt;Omohide Poro Poro Original Soundtrack | TKCA-30331 - VGMdb&lt;/title&gt;_x000D_
</v>
      </c>
    </row>
    <row r="228" spans="1:6" x14ac:dyDescent="0.75">
      <c r="A228">
        <f t="shared" si="10"/>
        <v>227</v>
      </c>
      <c r="B228" t="str" cm="1">
        <f t="array" ref="B228">INDEX(Albums!C:C,$A228,1)</f>
        <v>KICA-483~4</v>
      </c>
      <c r="C228" t="str" cm="1">
        <f t="array" ref="C228">INDEX(Albums!D:D,$A228,1)</f>
        <v>https://vgmdb.net/album/66512</v>
      </c>
      <c r="D228">
        <f t="shared" si="11"/>
        <v>32</v>
      </c>
      <c r="E228" t="str" cm="1">
        <f t="array" ref="E228">"J:\GitHub\VGMdb\VGMdb_"&amp;INDEX(Albums!C:C,A228,1)&amp;"_Source.html"</f>
        <v>J:\GitHub\VGMdb\VGMdb_KICA-483~4_Source.html</v>
      </c>
      <c r="F228" s="3" t="str" cm="1">
        <f t="array" ref="F228">ReadLineRange(E228,5,5)</f>
        <v xml:space="preserve">&lt;title&gt;SABER MARIONETTE BEST | KICA-483~4 - VGMdb&lt;/title&gt;_x000D_
</v>
      </c>
    </row>
    <row r="229" spans="1:6" x14ac:dyDescent="0.75">
      <c r="A229">
        <f t="shared" si="10"/>
        <v>228</v>
      </c>
      <c r="B229" t="str" cm="1">
        <f t="array" ref="B229">INDEX(Albums!C:C,$A229,1)</f>
        <v>KICA-454~5</v>
      </c>
      <c r="C229" t="str" cm="1">
        <f t="array" ref="C229">INDEX(Albums!D:D,$A229,1)</f>
        <v>https://vgmdb.net/album/34012</v>
      </c>
      <c r="D229">
        <f t="shared" si="11"/>
        <v>48</v>
      </c>
      <c r="E229" t="str" cm="1">
        <f t="array" ref="E229">"J:\GitHub\VGMdb\VGMdb_"&amp;INDEX(Albums!C:C,A229,1)&amp;"_Source.html"</f>
        <v>J:\GitHub\VGMdb\VGMdb_KICA-454~5_Source.html</v>
      </c>
      <c r="F229" s="3" t="str" cm="1">
        <f t="array" ref="F229">ReadLineRange(E229,5,5)</f>
        <v xml:space="preserve">&lt;title&gt;the BEST of SLAYERS [from TV &amp; RADIO] | KICA-454~5 - VGMdb&lt;/title&gt;_x000D_
</v>
      </c>
    </row>
    <row r="230" spans="1:6" x14ac:dyDescent="0.75">
      <c r="A230">
        <f t="shared" si="10"/>
        <v>229</v>
      </c>
      <c r="B230" t="str" cm="1">
        <f t="array" ref="B230">INDEX(Albums!C:C,$A230,1)</f>
        <v>SM-067</v>
      </c>
      <c r="C230" t="str" cm="1">
        <f t="array" ref="C230">INDEX(Albums!D:D,$A230,1)</f>
        <v>https://vgmdb.net/album/27415 (VICL-181)</v>
      </c>
      <c r="D230" t="e">
        <f t="shared" si="11"/>
        <v>#VALUE!</v>
      </c>
      <c r="E230" t="str" cm="1">
        <f t="array" ref="E230">"J:\GitHub\VGMdb\VGMdb_"&amp;INDEX(Albums!C:C,A230,1)&amp;"_Source.html"</f>
        <v>J:\GitHub\VGMdb\VGMdb_SM-067_Source.html</v>
      </c>
      <c r="F230" s="3" t="str" cm="1">
        <f t="array" ref="F230">ReadLineRange(E230,5,5)</f>
        <v xml:space="preserve">&lt;title&gt;Soryuden ORIGINAL SOUNDTRACK | VICL-181 - VGMdb&lt;/title&gt;_x000D_
</v>
      </c>
    </row>
    <row r="231" spans="1:6" x14ac:dyDescent="0.75">
      <c r="A231">
        <f t="shared" si="10"/>
        <v>230</v>
      </c>
      <c r="B231" t="str" cm="1">
        <f t="array" ref="B231">INDEX(Albums!C:C,$A231,1)</f>
        <v>KACD-0028~9</v>
      </c>
      <c r="C231" t="str" cm="1">
        <f t="array" ref="C231">INDEX(Albums!D:D,$A231,1)</f>
        <v>https://vgmdb.net/album/125767</v>
      </c>
      <c r="D231">
        <f t="shared" si="11"/>
        <v>34</v>
      </c>
      <c r="E231" t="str" cm="1">
        <f t="array" ref="E231">"J:\GitHub\VGMdb\VGMdb_"&amp;INDEX(Albums!C:C,A231,1)&amp;"_Source.html"</f>
        <v>J:\GitHub\VGMdb\VGMdb_KACD-0028~9_Source.html</v>
      </c>
      <c r="F231" s="3" t="str" cm="1">
        <f t="array" ref="F231">ReadLineRange(E231,5,5)</f>
        <v xml:space="preserve">&lt;title&gt;URUSEIYATSURA GOLD DISC | KACD-0028~9 - VGMdb&lt;/title&gt;_x000D_
</v>
      </c>
    </row>
    <row r="232" spans="1:6" x14ac:dyDescent="0.75">
      <c r="A232">
        <f t="shared" si="10"/>
        <v>231</v>
      </c>
      <c r="B232" t="str" cm="1">
        <f t="array" ref="B232">INDEX(Albums!C:C,$A232,1)</f>
        <v>H55K-20010~1</v>
      </c>
      <c r="C232" t="str" cm="1">
        <f t="array" ref="C232">INDEX(Albums!D:D,$A232,1)</f>
        <v>https://vgmdb.net/album/62149</v>
      </c>
      <c r="D232">
        <f t="shared" si="11"/>
        <v>69</v>
      </c>
      <c r="E232" t="str" cm="1">
        <f t="array" ref="E232">"J:\GitHub\VGMdb\VGMdb_"&amp;INDEX(Albums!C:C,A232,1)&amp;"_Source.html"</f>
        <v>J:\GitHub\VGMdb\VGMdb_H55K-20010~1_Source.html</v>
      </c>
      <c r="F232" s="3" t="str" cm="1">
        <f t="array" ref="F232">ReadLineRange(E232,5,5)</f>
        <v xml:space="preserve">&lt;title&gt;Urusei Yatsura music file: ~Unpublished TV BGM Collection~ | H55K-20010~1 - VGMdb&lt;/title&gt;_x000D_
</v>
      </c>
    </row>
    <row r="233" spans="1:6" x14ac:dyDescent="0.75">
      <c r="A233">
        <f t="shared" si="10"/>
        <v>232</v>
      </c>
      <c r="B233" t="str" cm="1">
        <f t="array" ref="B233">INDEX(Albums!C:C,$A233,1)</f>
        <v>KTCR-1097~8</v>
      </c>
      <c r="C233" t="str" cm="1">
        <f t="array" ref="C233">INDEX(Albums!D:D,$A233,1)</f>
        <v>https://vgmdb.net/album/61944</v>
      </c>
      <c r="D233">
        <f t="shared" si="11"/>
        <v>81</v>
      </c>
      <c r="E233" t="str" cm="1">
        <f t="array" ref="E233">"J:\GitHub\VGMdb\VGMdb_"&amp;INDEX(Albums!C:C,A233,1)&amp;"_Source.html"</f>
        <v>J:\GitHub\VGMdb\VGMdb_KTCR-1097~8_Source.html</v>
      </c>
      <c r="F233" s="3" t="str" cm="1">
        <f t="array" ref="F233">ReadLineRange(E233,5,5)</f>
        <v xml:space="preserve">&lt;title&gt;Urusei Yatsura 2 â˜…Beautiful Dreamerâ˜… Original Soundtrack Drama-hen | KTCR-1097~8 - VGMdb&lt;/title&gt;_x000D_
</v>
      </c>
    </row>
    <row r="234" spans="1:6" x14ac:dyDescent="0.75">
      <c r="A234">
        <f t="shared" si="10"/>
        <v>233</v>
      </c>
      <c r="B234" t="str" cm="1">
        <f t="array" ref="B234">INDEX(Albums!C:C,$A234,1)</f>
        <v>H42K-20119~20</v>
      </c>
      <c r="C234" t="str" cm="1">
        <f t="array" ref="C234">INDEX(Albums!D:D,$A234,1)</f>
        <v>https://vgmdb.net/album/80270</v>
      </c>
      <c r="D234">
        <f t="shared" si="11"/>
        <v>70</v>
      </c>
      <c r="E234" t="str" cm="1">
        <f t="array" ref="E234">"J:\GitHub\VGMdb\VGMdb_"&amp;INDEX(Albums!C:C,A234,1)&amp;"_Source.html"</f>
        <v>J:\GitHub\VGMdb\VGMdb_H42K-20119~20_Source.html</v>
      </c>
      <c r="F234" s="3" t="str" cm="1">
        <f t="array" ref="F234">ReadLineRange(E234,5,5)</f>
        <v xml:space="preserve">&lt;title&gt;Complete Recording Edition Urusei Yatsura The Final Chapter | H42K-20119~20 - VGMdb&lt;/title&gt;_x000D_
</v>
      </c>
    </row>
    <row r="235" spans="1:6" x14ac:dyDescent="0.75">
      <c r="A235">
        <f t="shared" si="10"/>
        <v>234</v>
      </c>
      <c r="B235" t="str" cm="1">
        <f t="array" ref="B235">INDEX(Albums!C:C,$A235,1)</f>
        <v>COCX-31205</v>
      </c>
      <c r="C235" t="str" cm="1">
        <f t="array" ref="C235">INDEX(Albums!D:D,$A235,1)</f>
        <v>https://vgmdb.net/album/155083</v>
      </c>
      <c r="D235">
        <f t="shared" si="11"/>
        <v>53</v>
      </c>
      <c r="E235" t="str" cm="1">
        <f t="array" ref="E235">"J:\GitHub\VGMdb\VGMdb_"&amp;INDEX(Albums!C:C,A235,1)&amp;"_Source.html"</f>
        <v>J:\GitHub\VGMdb\VGMdb_COCX-31205_Source.html</v>
      </c>
      <c r="F235" s="3" t="str" cm="1">
        <f t="array" ref="F235">ReadLineRange(E235,5,5)</f>
        <v xml:space="preserve">&lt;title&gt;Tottoko Hamutaro Outa + Message Collection | COCX-31205 - VGMdb&lt;/title&gt;_x000D_
</v>
      </c>
    </row>
  </sheetData>
  <autoFilter ref="A1:F235" xr:uid="{AAE86CD7-051D-4087-844E-411727D87504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D44EA-5F81-436F-9734-EDB83E5D9149}">
  <sheetPr codeName="Sheet4"/>
  <dimension ref="A1:B235"/>
  <sheetViews>
    <sheetView tabSelected="1" topLeftCell="A199" workbookViewId="0">
      <selection activeCell="A2" sqref="A2:A235"/>
    </sheetView>
  </sheetViews>
  <sheetFormatPr defaultRowHeight="14.75" x14ac:dyDescent="0.75"/>
  <cols>
    <col min="1" max="1" width="58.5" customWidth="1"/>
  </cols>
  <sheetData>
    <row r="1" spans="1:2" x14ac:dyDescent="0.75">
      <c r="A1" t="s">
        <v>238</v>
      </c>
      <c r="B1" t="s">
        <v>239</v>
      </c>
    </row>
    <row r="2" spans="1:2" x14ac:dyDescent="0.75">
      <c r="A2" t="s">
        <v>0</v>
      </c>
      <c r="B2" t="str">
        <f>IF(COUNTIF(Albums!F:F, A2)+0,"DONE","")&amp;IF(EXACT(A2,A1),"DONE","")</f>
        <v>DONE</v>
      </c>
    </row>
    <row r="3" spans="1:2" x14ac:dyDescent="0.75">
      <c r="A3" t="s">
        <v>1</v>
      </c>
      <c r="B3" t="str">
        <f>IF(COUNTIF(Albums!F:F, A3)+0,"DONE","")&amp;IF(EXACT(A3,A2),"DONE","")</f>
        <v>DONE</v>
      </c>
    </row>
    <row r="4" spans="1:2" x14ac:dyDescent="0.75">
      <c r="A4" t="s">
        <v>2</v>
      </c>
      <c r="B4" t="str">
        <f>IF(COUNTIF(Albums!F:F, A4)+0,"DONE","")&amp;IF(EXACT(A4,A3),"DONE","")</f>
        <v>DONE</v>
      </c>
    </row>
    <row r="5" spans="1:2" x14ac:dyDescent="0.75">
      <c r="A5" t="s">
        <v>3</v>
      </c>
      <c r="B5" t="str">
        <f>IF(COUNTIF(Albums!F:F, A5)+0,"DONE","")&amp;IF(EXACT(A5,A4),"DONE","")</f>
        <v>DONE</v>
      </c>
    </row>
    <row r="6" spans="1:2" x14ac:dyDescent="0.75">
      <c r="A6" t="s">
        <v>224</v>
      </c>
      <c r="B6" t="str">
        <f>IF(COUNTIF(Albums!F:F, A6)+0,"DONE","")&amp;IF(EXACT(A6,A5),"DONE","")</f>
        <v>DONE</v>
      </c>
    </row>
    <row r="7" spans="1:2" x14ac:dyDescent="0.75">
      <c r="A7" t="s">
        <v>4</v>
      </c>
      <c r="B7" t="str">
        <f>IF(COUNTIF(Albums!F:F, A7)+0,"DONE","")&amp;IF(EXACT(A7,A6),"DONE","")</f>
        <v>DONE</v>
      </c>
    </row>
    <row r="8" spans="1:2" x14ac:dyDescent="0.75">
      <c r="A8" t="s">
        <v>5</v>
      </c>
      <c r="B8" t="str">
        <f>IF(COUNTIF(Albums!F:F, A8)+0,"DONE","")&amp;IF(EXACT(A8,A7),"DONE","")</f>
        <v>DONE</v>
      </c>
    </row>
    <row r="9" spans="1:2" x14ac:dyDescent="0.75">
      <c r="A9" t="s">
        <v>6</v>
      </c>
      <c r="B9" t="str">
        <f>IF(COUNTIF(Albums!F:F, A9)+0,"DONE","")&amp;IF(EXACT(A9,A8),"DONE","")</f>
        <v>DONE</v>
      </c>
    </row>
    <row r="10" spans="1:2" x14ac:dyDescent="0.75">
      <c r="A10" t="s">
        <v>223</v>
      </c>
      <c r="B10" t="str">
        <f>IF(COUNTIF(Albums!F:F, A10)+0,"DONE","")&amp;IF(EXACT(A10,A9),"DONE","")</f>
        <v>DONE</v>
      </c>
    </row>
    <row r="11" spans="1:2" x14ac:dyDescent="0.75">
      <c r="A11" t="s">
        <v>9</v>
      </c>
      <c r="B11" t="str">
        <f>IF(COUNTIF(Albums!F:F, A11)+0,"DONE","")&amp;IF(EXACT(A11,A10),"DONE","")</f>
        <v>DONE</v>
      </c>
    </row>
    <row r="12" spans="1:2" x14ac:dyDescent="0.75">
      <c r="A12" t="s">
        <v>7</v>
      </c>
      <c r="B12" t="str">
        <f>IF(COUNTIF(Albums!F:F, A12)+0,"DONE","")&amp;IF(EXACT(A12,A11),"DONE","")</f>
        <v>DONE</v>
      </c>
    </row>
    <row r="13" spans="1:2" x14ac:dyDescent="0.75">
      <c r="A13" t="s">
        <v>8</v>
      </c>
      <c r="B13" t="str">
        <f>IF(COUNTIF(Albums!F:F, A13)+0,"DONE","")&amp;IF(EXACT(A13,A12),"DONE","")</f>
        <v>DONE</v>
      </c>
    </row>
    <row r="14" spans="1:2" x14ac:dyDescent="0.75">
      <c r="A14" t="s">
        <v>10</v>
      </c>
      <c r="B14" t="str">
        <f>IF(COUNTIF(Albums!F:F, A14)+0,"DONE","")&amp;IF(EXACT(A14,A13),"DONE","")</f>
        <v>DONE</v>
      </c>
    </row>
    <row r="15" spans="1:2" x14ac:dyDescent="0.75">
      <c r="A15" t="s">
        <v>11</v>
      </c>
      <c r="B15" t="str">
        <f>IF(COUNTIF(Albums!F:F, A15)+0,"DONE","")&amp;IF(EXACT(A15,A14),"DONE","")</f>
        <v>DONE</v>
      </c>
    </row>
    <row r="16" spans="1:2" x14ac:dyDescent="0.75">
      <c r="A16" t="s">
        <v>12</v>
      </c>
      <c r="B16" t="str">
        <f>IF(COUNTIF(Albums!F:F, A16)+0,"DONE","")&amp;IF(EXACT(A16,A15),"DONE","")</f>
        <v>DONE</v>
      </c>
    </row>
    <row r="17" spans="1:2" x14ac:dyDescent="0.75">
      <c r="A17" t="s">
        <v>13</v>
      </c>
      <c r="B17" t="str">
        <f>IF(COUNTIF(Albums!F:F, A17)+0,"DONE","")&amp;IF(EXACT(A17,A16),"DONE","")</f>
        <v>DONE</v>
      </c>
    </row>
    <row r="18" spans="1:2" x14ac:dyDescent="0.75">
      <c r="A18" t="s">
        <v>14</v>
      </c>
      <c r="B18" t="str">
        <f>IF(COUNTIF(Albums!F:F, A18)+0,"DONE","")&amp;IF(EXACT(A18,A17),"DONE","")</f>
        <v>DONE</v>
      </c>
    </row>
    <row r="19" spans="1:2" x14ac:dyDescent="0.75">
      <c r="A19" t="s">
        <v>15</v>
      </c>
      <c r="B19" t="str">
        <f>IF(COUNTIF(Albums!F:F, A19)+0,"DONE","")&amp;IF(EXACT(A19,A18),"DONE","")</f>
        <v>DONE</v>
      </c>
    </row>
    <row r="20" spans="1:2" x14ac:dyDescent="0.75">
      <c r="A20" t="s">
        <v>16</v>
      </c>
      <c r="B20" t="str">
        <f>IF(COUNTIF(Albums!F:F, A20)+0,"DONE","")&amp;IF(EXACT(A20,A19),"DONE","")</f>
        <v>DONE</v>
      </c>
    </row>
    <row r="21" spans="1:2" x14ac:dyDescent="0.75">
      <c r="A21" t="s">
        <v>17</v>
      </c>
      <c r="B21" t="str">
        <f>IF(COUNTIF(Albums!F:F, A21)+0,"DONE","")&amp;IF(EXACT(A21,A20),"DONE","")</f>
        <v>DONE</v>
      </c>
    </row>
    <row r="22" spans="1:2" x14ac:dyDescent="0.75">
      <c r="A22" t="s">
        <v>18</v>
      </c>
      <c r="B22" t="str">
        <f>IF(COUNTIF(Albums!F:F, A22)+0,"DONE","")&amp;IF(EXACT(A22,A21),"DONE","")</f>
        <v>DONE</v>
      </c>
    </row>
    <row r="23" spans="1:2" x14ac:dyDescent="0.75">
      <c r="A23" t="s">
        <v>19</v>
      </c>
      <c r="B23" t="str">
        <f>IF(COUNTIF(Albums!F:F, A23)+0,"DONE","")&amp;IF(EXACT(A23,A22),"DONE","")</f>
        <v>DONE</v>
      </c>
    </row>
    <row r="24" spans="1:2" x14ac:dyDescent="0.75">
      <c r="A24" t="s">
        <v>20</v>
      </c>
      <c r="B24" t="str">
        <f>IF(COUNTIF(Albums!F:F, A24)+0,"DONE","")&amp;IF(EXACT(A24,A23),"DONE","")</f>
        <v>DONE</v>
      </c>
    </row>
    <row r="25" spans="1:2" x14ac:dyDescent="0.75">
      <c r="A25" t="s">
        <v>21</v>
      </c>
      <c r="B25" t="str">
        <f>IF(COUNTIF(Albums!F:F, A25)+0,"DONE","")&amp;IF(EXACT(A25,A24),"DONE","")</f>
        <v>DONE</v>
      </c>
    </row>
    <row r="26" spans="1:2" x14ac:dyDescent="0.75">
      <c r="A26" t="s">
        <v>23</v>
      </c>
      <c r="B26" t="str">
        <f>IF(COUNTIF(Albums!F:F, A26)+0,"DONE","")&amp;IF(EXACT(A26,A25),"DONE","")</f>
        <v>DONE</v>
      </c>
    </row>
    <row r="27" spans="1:2" x14ac:dyDescent="0.75">
      <c r="A27" t="s">
        <v>22</v>
      </c>
      <c r="B27" t="str">
        <f>IF(COUNTIF(Albums!F:F, A27)+0,"DONE","")&amp;IF(EXACT(A27,A26),"DONE","")</f>
        <v>DONE</v>
      </c>
    </row>
    <row r="28" spans="1:2" x14ac:dyDescent="0.75">
      <c r="A28" t="s">
        <v>24</v>
      </c>
      <c r="B28" t="str">
        <f>IF(COUNTIF(Albums!F:F, A28)+0,"DONE","")&amp;IF(EXACT(A28,A27),"DONE","")</f>
        <v>DONE</v>
      </c>
    </row>
    <row r="29" spans="1:2" x14ac:dyDescent="0.75">
      <c r="A29" t="s">
        <v>25</v>
      </c>
      <c r="B29" t="str">
        <f>IF(COUNTIF(Albums!F:F, A29)+0,"DONE","")&amp;IF(EXACT(A29,A28),"DONE","")</f>
        <v>DONE</v>
      </c>
    </row>
    <row r="30" spans="1:2" x14ac:dyDescent="0.75">
      <c r="A30" t="s">
        <v>26</v>
      </c>
      <c r="B30" t="str">
        <f>IF(COUNTIF(Albums!F:F, A30)+0,"DONE","")&amp;IF(EXACT(A30,A29),"DONE","")</f>
        <v>DONE</v>
      </c>
    </row>
    <row r="31" spans="1:2" x14ac:dyDescent="0.75">
      <c r="A31" t="s">
        <v>27</v>
      </c>
      <c r="B31" t="str">
        <f>IF(COUNTIF(Albums!F:F, A31)+0,"DONE","")&amp;IF(EXACT(A31,A30),"DONE","")</f>
        <v>DONE</v>
      </c>
    </row>
    <row r="32" spans="1:2" x14ac:dyDescent="0.75">
      <c r="A32" t="s">
        <v>28</v>
      </c>
      <c r="B32" t="str">
        <f>IF(COUNTIF(Albums!F:F, A32)+0,"DONE","")&amp;IF(EXACT(A32,A31),"DONE","")</f>
        <v>DONE</v>
      </c>
    </row>
    <row r="33" spans="1:2" x14ac:dyDescent="0.75">
      <c r="A33" t="s">
        <v>228</v>
      </c>
      <c r="B33" t="str">
        <f>IF(COUNTIF(Albums!F:F, A33)+0,"DONE","")&amp;IF(EXACT(A33,A32),"DONE","")</f>
        <v>DONE</v>
      </c>
    </row>
    <row r="34" spans="1:2" x14ac:dyDescent="0.75">
      <c r="A34" t="s">
        <v>29</v>
      </c>
      <c r="B34" t="str">
        <f>IF(COUNTIF(Albums!F:F, A34)+0,"DONE","")&amp;IF(EXACT(A34,A33),"DONE","")</f>
        <v>DONE</v>
      </c>
    </row>
    <row r="35" spans="1:2" x14ac:dyDescent="0.75">
      <c r="A35" t="s">
        <v>30</v>
      </c>
      <c r="B35" t="str">
        <f>IF(COUNTIF(Albums!F:F, A35)+0,"DONE","")&amp;IF(EXACT(A35,A34),"DONE","")</f>
        <v>DONE</v>
      </c>
    </row>
    <row r="36" spans="1:2" x14ac:dyDescent="0.75">
      <c r="A36" t="s">
        <v>31</v>
      </c>
      <c r="B36" t="str">
        <f>IF(COUNTIF(Albums!F:F, A36)+0,"DONE","")&amp;IF(EXACT(A36,A35),"DONE","")</f>
        <v>DONE</v>
      </c>
    </row>
    <row r="37" spans="1:2" x14ac:dyDescent="0.75">
      <c r="A37" t="s">
        <v>33</v>
      </c>
      <c r="B37" t="str">
        <f>IF(COUNTIF(Albums!F:F, A37)+0,"DONE","")&amp;IF(EXACT(A37,A36),"DONE","")</f>
        <v>DONE</v>
      </c>
    </row>
    <row r="38" spans="1:2" x14ac:dyDescent="0.75">
      <c r="A38" t="s">
        <v>32</v>
      </c>
      <c r="B38" t="str">
        <f>IF(COUNTIF(Albums!F:F, A38)+0,"DONE","")&amp;IF(EXACT(A38,A37),"DONE","")</f>
        <v>DONE</v>
      </c>
    </row>
    <row r="39" spans="1:2" x14ac:dyDescent="0.75">
      <c r="A39" t="s">
        <v>34</v>
      </c>
      <c r="B39" t="str">
        <f>IF(COUNTIF(Albums!F:F, A39)+0,"DONE","")&amp;IF(EXACT(A39,A38),"DONE","")</f>
        <v>DONE</v>
      </c>
    </row>
    <row r="40" spans="1:2" x14ac:dyDescent="0.75">
      <c r="A40" t="s">
        <v>35</v>
      </c>
      <c r="B40" t="str">
        <f>IF(COUNTIF(Albums!F:F, A40)+0,"DONE","")&amp;IF(EXACT(A40,A39),"DONE","")</f>
        <v>DONE</v>
      </c>
    </row>
    <row r="41" spans="1:2" x14ac:dyDescent="0.75">
      <c r="A41" t="s">
        <v>36</v>
      </c>
      <c r="B41" t="str">
        <f>IF(COUNTIF(Albums!F:F, A41)+0,"DONE","")&amp;IF(EXACT(A41,A40),"DONE","")</f>
        <v>DONE</v>
      </c>
    </row>
    <row r="42" spans="1:2" x14ac:dyDescent="0.75">
      <c r="A42" t="s">
        <v>37</v>
      </c>
      <c r="B42" t="str">
        <f>IF(COUNTIF(Albums!F:F, A42)+0,"DONE","")&amp;IF(EXACT(A42,A41),"DONE","")</f>
        <v>DONE</v>
      </c>
    </row>
    <row r="43" spans="1:2" x14ac:dyDescent="0.75">
      <c r="A43" t="s">
        <v>38</v>
      </c>
      <c r="B43" t="str">
        <f>IF(COUNTIF(Albums!F:F, A43)+0,"DONE","")&amp;IF(EXACT(A43,A42),"DONE","")</f>
        <v>DONE</v>
      </c>
    </row>
    <row r="44" spans="1:2" x14ac:dyDescent="0.75">
      <c r="A44" t="s">
        <v>39</v>
      </c>
      <c r="B44" t="str">
        <f>IF(COUNTIF(Albums!F:F, A44)+0,"DONE","")&amp;IF(EXACT(A44,A43),"DONE","")</f>
        <v>DONE</v>
      </c>
    </row>
    <row r="45" spans="1:2" x14ac:dyDescent="0.75">
      <c r="A45" t="s">
        <v>40</v>
      </c>
      <c r="B45" t="str">
        <f>IF(COUNTIF(Albums!F:F, A45)+0,"DONE","")&amp;IF(EXACT(A45,A44),"DONE","")</f>
        <v>DONE</v>
      </c>
    </row>
    <row r="46" spans="1:2" x14ac:dyDescent="0.75">
      <c r="A46" t="s">
        <v>229</v>
      </c>
      <c r="B46" t="str">
        <f>IF(COUNTIF(Albums!F:F, A46)+0,"DONE","")&amp;IF(EXACT(A46,A45),"DONE","")</f>
        <v>DONE</v>
      </c>
    </row>
    <row r="47" spans="1:2" x14ac:dyDescent="0.75">
      <c r="A47" t="s">
        <v>41</v>
      </c>
      <c r="B47" t="str">
        <f>IF(COUNTIF(Albums!F:F, A47)+0,"DONE","")&amp;IF(EXACT(A47,A46),"DONE","")</f>
        <v>DONE</v>
      </c>
    </row>
    <row r="48" spans="1:2" x14ac:dyDescent="0.75">
      <c r="A48" t="s">
        <v>42</v>
      </c>
      <c r="B48" t="str">
        <f>IF(COUNTIF(Albums!F:F, A48)+0,"DONE","")&amp;IF(EXACT(A48,A47),"DONE","")</f>
        <v>DONE</v>
      </c>
    </row>
    <row r="49" spans="1:2" x14ac:dyDescent="0.75">
      <c r="A49" t="s">
        <v>43</v>
      </c>
      <c r="B49" t="str">
        <f>IF(COUNTIF(Albums!F:F, A49)+0,"DONE","")&amp;IF(EXACT(A49,A48),"DONE","")</f>
        <v>DONE</v>
      </c>
    </row>
    <row r="50" spans="1:2" x14ac:dyDescent="0.75">
      <c r="A50" t="s">
        <v>44</v>
      </c>
      <c r="B50" t="str">
        <f>IF(COUNTIF(Albums!F:F, A50)+0,"DONE","")&amp;IF(EXACT(A50,A49),"DONE","")</f>
        <v>DONE</v>
      </c>
    </row>
    <row r="51" spans="1:2" x14ac:dyDescent="0.75">
      <c r="A51" t="s">
        <v>45</v>
      </c>
      <c r="B51" t="str">
        <f>IF(COUNTIF(Albums!F:F, A51)+0,"DONE","")&amp;IF(EXACT(A51,A50),"DONE","")</f>
        <v>DONE</v>
      </c>
    </row>
    <row r="52" spans="1:2" x14ac:dyDescent="0.75">
      <c r="A52" t="s">
        <v>46</v>
      </c>
      <c r="B52" t="str">
        <f>IF(COUNTIF(Albums!F:F, A52)+0,"DONE","")&amp;IF(EXACT(A52,A51),"DONE","")</f>
        <v>DONE</v>
      </c>
    </row>
    <row r="53" spans="1:2" x14ac:dyDescent="0.75">
      <c r="A53" t="s">
        <v>47</v>
      </c>
      <c r="B53" t="str">
        <f>IF(COUNTIF(Albums!F:F, A53)+0,"DONE","")&amp;IF(EXACT(A53,A52),"DONE","")</f>
        <v>DONE</v>
      </c>
    </row>
    <row r="54" spans="1:2" x14ac:dyDescent="0.75">
      <c r="A54" t="s">
        <v>48</v>
      </c>
      <c r="B54" t="str">
        <f>IF(COUNTIF(Albums!F:F, A54)+0,"DONE","")&amp;IF(EXACT(A54,A53),"DONE","")</f>
        <v>DONE</v>
      </c>
    </row>
    <row r="55" spans="1:2" x14ac:dyDescent="0.75">
      <c r="A55" t="s">
        <v>49</v>
      </c>
      <c r="B55" t="str">
        <f>IF(COUNTIF(Albums!F:F, A55)+0,"DONE","")&amp;IF(EXACT(A55,A54),"DONE","")</f>
        <v>DONE</v>
      </c>
    </row>
    <row r="56" spans="1:2" x14ac:dyDescent="0.75">
      <c r="A56" t="s">
        <v>50</v>
      </c>
      <c r="B56" t="str">
        <f>IF(COUNTIF(Albums!F:F, A56)+0,"DONE","")&amp;IF(EXACT(A56,A55),"DONE","")</f>
        <v>DONE</v>
      </c>
    </row>
    <row r="57" spans="1:2" x14ac:dyDescent="0.75">
      <c r="A57" t="s">
        <v>243</v>
      </c>
      <c r="B57" t="str">
        <f>IF(COUNTIF(Albums!F:F, A57)+0,"DONE","")&amp;IF(EXACT(A57,A56),"DONE","")</f>
        <v>DONE</v>
      </c>
    </row>
    <row r="58" spans="1:2" x14ac:dyDescent="0.75">
      <c r="A58" t="s">
        <v>51</v>
      </c>
      <c r="B58" t="str">
        <f>IF(COUNTIF(Albums!F:F, A58)+0,"DONE","")&amp;IF(EXACT(A58,A57),"DONE","")</f>
        <v>DONE</v>
      </c>
    </row>
    <row r="59" spans="1:2" x14ac:dyDescent="0.75">
      <c r="A59" t="s">
        <v>52</v>
      </c>
      <c r="B59" t="str">
        <f>IF(COUNTIF(Albums!F:F, A59)+0,"DONE","")&amp;IF(EXACT(A59,A58),"DONE","")</f>
        <v>DONE</v>
      </c>
    </row>
    <row r="60" spans="1:2" x14ac:dyDescent="0.75">
      <c r="A60" t="s">
        <v>53</v>
      </c>
      <c r="B60" t="str">
        <f>IF(COUNTIF(Albums!F:F, A60)+0,"DONE","")&amp;IF(EXACT(A60,A59),"DONE","")</f>
        <v>DONE</v>
      </c>
    </row>
    <row r="61" spans="1:2" x14ac:dyDescent="0.75">
      <c r="A61" t="s">
        <v>54</v>
      </c>
      <c r="B61" t="str">
        <f>IF(COUNTIF(Albums!F:F, A61)+0,"DONE","")&amp;IF(EXACT(A61,A60),"DONE","")</f>
        <v>DONE</v>
      </c>
    </row>
    <row r="62" spans="1:2" x14ac:dyDescent="0.75">
      <c r="A62" t="s">
        <v>55</v>
      </c>
      <c r="B62" t="str">
        <f>IF(COUNTIF(Albums!F:F, A62)+0,"DONE","")&amp;IF(EXACT(A62,A61),"DONE","")</f>
        <v>DONE</v>
      </c>
    </row>
    <row r="63" spans="1:2" x14ac:dyDescent="0.75">
      <c r="A63" t="s">
        <v>56</v>
      </c>
      <c r="B63" t="str">
        <f>IF(COUNTIF(Albums!F:F, A63)+0,"DONE","")&amp;IF(EXACT(A63,A62),"DONE","")</f>
        <v>DONE</v>
      </c>
    </row>
    <row r="64" spans="1:2" x14ac:dyDescent="0.75">
      <c r="A64" t="s">
        <v>172</v>
      </c>
      <c r="B64" t="str">
        <f>IF(COUNTIF(Albums!F:F, A64)+0,"DONE","")&amp;IF(EXACT(A64,A63),"DONE","")</f>
        <v>DONE</v>
      </c>
    </row>
    <row r="65" spans="1:2" x14ac:dyDescent="0.75">
      <c r="A65" t="s">
        <v>57</v>
      </c>
      <c r="B65" t="str">
        <f>IF(COUNTIF(Albums!F:F, A65)+0,"DONE","")&amp;IF(EXACT(A65,A64),"DONE","")</f>
        <v>DONE</v>
      </c>
    </row>
    <row r="66" spans="1:2" x14ac:dyDescent="0.75">
      <c r="A66" t="s">
        <v>67</v>
      </c>
      <c r="B66" t="str">
        <f>IF(COUNTIF(Albums!F:F, A66)+0,"DONE","")&amp;IF(EXACT(A66,A65),"DONE","")</f>
        <v>DONE</v>
      </c>
    </row>
    <row r="67" spans="1:2" x14ac:dyDescent="0.75">
      <c r="A67" t="s">
        <v>58</v>
      </c>
      <c r="B67" t="str">
        <f>IF(COUNTIF(Albums!F:F, A67)+0,"DONE","")&amp;IF(EXACT(A67,A66),"DONE","")</f>
        <v>DONE</v>
      </c>
    </row>
    <row r="68" spans="1:2" x14ac:dyDescent="0.75">
      <c r="A68" t="s">
        <v>225</v>
      </c>
      <c r="B68" t="str">
        <f>IF(COUNTIF(Albums!F:F, A68)+0,"DONE","")&amp;IF(EXACT(A68,A67),"DONE","")</f>
        <v>DONE</v>
      </c>
    </row>
    <row r="69" spans="1:2" x14ac:dyDescent="0.75">
      <c r="A69" t="s">
        <v>59</v>
      </c>
      <c r="B69" t="str">
        <f>IF(COUNTIF(Albums!F:F, A69)+0,"DONE","")&amp;IF(EXACT(A69,A68),"DONE","")</f>
        <v>DONE</v>
      </c>
    </row>
    <row r="70" spans="1:2" x14ac:dyDescent="0.75">
      <c r="A70" t="s">
        <v>60</v>
      </c>
      <c r="B70" t="str">
        <f>IF(COUNTIF(Albums!F:F, A70)+0,"DONE","")&amp;IF(EXACT(A70,A69),"DONE","")</f>
        <v>DONE</v>
      </c>
    </row>
    <row r="71" spans="1:2" x14ac:dyDescent="0.75">
      <c r="A71" t="s">
        <v>61</v>
      </c>
      <c r="B71" t="str">
        <f>IF(COUNTIF(Albums!F:F, A71)+0,"DONE","")&amp;IF(EXACT(A71,A70),"DONE","")</f>
        <v>DONE</v>
      </c>
    </row>
    <row r="72" spans="1:2" x14ac:dyDescent="0.75">
      <c r="A72" t="s">
        <v>62</v>
      </c>
      <c r="B72" t="str">
        <f>IF(COUNTIF(Albums!F:F, A72)+0,"DONE","")&amp;IF(EXACT(A72,A71),"DONE","")</f>
        <v>DONE</v>
      </c>
    </row>
    <row r="73" spans="1:2" x14ac:dyDescent="0.75">
      <c r="A73" t="s">
        <v>63</v>
      </c>
      <c r="B73" t="str">
        <f>IF(COUNTIF(Albums!F:F, A73)+0,"DONE","")&amp;IF(EXACT(A73,A72),"DONE","")</f>
        <v>DONE</v>
      </c>
    </row>
    <row r="74" spans="1:2" x14ac:dyDescent="0.75">
      <c r="A74" t="s">
        <v>64</v>
      </c>
      <c r="B74" t="str">
        <f>IF(COUNTIF(Albums!F:F, A74)+0,"DONE","")&amp;IF(EXACT(A74,A73),"DONE","")</f>
        <v>DONE</v>
      </c>
    </row>
    <row r="75" spans="1:2" x14ac:dyDescent="0.75">
      <c r="A75" t="s">
        <v>65</v>
      </c>
      <c r="B75" t="str">
        <f>IF(COUNTIF(Albums!F:F, A75)+0,"DONE","")&amp;IF(EXACT(A75,A74),"DONE","")</f>
        <v>DONE</v>
      </c>
    </row>
    <row r="76" spans="1:2" x14ac:dyDescent="0.75">
      <c r="A76" t="s">
        <v>66</v>
      </c>
      <c r="B76" t="str">
        <f>IF(COUNTIF(Albums!F:F, A76)+0,"DONE","")&amp;IF(EXACT(A76,A75),"DONE","")</f>
        <v>DONE</v>
      </c>
    </row>
    <row r="77" spans="1:2" x14ac:dyDescent="0.75">
      <c r="A77" t="s">
        <v>69</v>
      </c>
      <c r="B77" t="str">
        <f>IF(COUNTIF(Albums!F:F, A77)+0,"DONE","")&amp;IF(EXACT(A77,A76),"DONE","")</f>
        <v>DONE</v>
      </c>
    </row>
    <row r="78" spans="1:2" x14ac:dyDescent="0.75">
      <c r="A78" t="s">
        <v>68</v>
      </c>
      <c r="B78" t="str">
        <f>IF(COUNTIF(Albums!F:F, A78)+0,"DONE","")&amp;IF(EXACT(A78,A77),"DONE","")</f>
        <v>DONE</v>
      </c>
    </row>
    <row r="79" spans="1:2" x14ac:dyDescent="0.75">
      <c r="A79" t="s">
        <v>70</v>
      </c>
      <c r="B79" t="str">
        <f>IF(COUNTIF(Albums!F:F, A79)+0,"DONE","")&amp;IF(EXACT(A79,A78),"DONE","")</f>
        <v>DONE</v>
      </c>
    </row>
    <row r="80" spans="1:2" x14ac:dyDescent="0.75">
      <c r="A80" t="s">
        <v>79</v>
      </c>
      <c r="B80" t="str">
        <f>IF(COUNTIF(Albums!F:F, A80)+0,"DONE","")&amp;IF(EXACT(A80,A79),"DONE","")</f>
        <v>DONE</v>
      </c>
    </row>
    <row r="81" spans="1:2" x14ac:dyDescent="0.75">
      <c r="A81" t="s">
        <v>74</v>
      </c>
      <c r="B81" t="str">
        <f>IF(COUNTIF(Albums!F:F, A81)+0,"DONE","")&amp;IF(EXACT(A81,A80),"DONE","")</f>
        <v>DONE</v>
      </c>
    </row>
    <row r="82" spans="1:2" x14ac:dyDescent="0.75">
      <c r="A82" t="s">
        <v>71</v>
      </c>
      <c r="B82" t="str">
        <f>IF(COUNTIF(Albums!F:F, A82)+0,"DONE","")&amp;IF(EXACT(A82,A81),"DONE","")</f>
        <v>DONE</v>
      </c>
    </row>
    <row r="83" spans="1:2" x14ac:dyDescent="0.75">
      <c r="A83" t="s">
        <v>72</v>
      </c>
      <c r="B83" t="str">
        <f>IF(COUNTIF(Albums!F:F, A83)+0,"DONE","")&amp;IF(EXACT(A83,A82),"DONE","")</f>
        <v>DONE</v>
      </c>
    </row>
    <row r="84" spans="1:2" x14ac:dyDescent="0.75">
      <c r="A84" t="s">
        <v>73</v>
      </c>
      <c r="B84" t="str">
        <f>IF(COUNTIF(Albums!F:F, A84)+0,"DONE","")&amp;IF(EXACT(A84,A83),"DONE","")</f>
        <v>DONE</v>
      </c>
    </row>
    <row r="85" spans="1:2" x14ac:dyDescent="0.75">
      <c r="A85" t="s">
        <v>75</v>
      </c>
      <c r="B85" t="str">
        <f>IF(COUNTIF(Albums!F:F, A85)+0,"DONE","")&amp;IF(EXACT(A85,A84),"DONE","")</f>
        <v>DONE</v>
      </c>
    </row>
    <row r="86" spans="1:2" x14ac:dyDescent="0.75">
      <c r="A86" t="s">
        <v>76</v>
      </c>
      <c r="B86" t="str">
        <f>IF(COUNTIF(Albums!F:F, A86)+0,"DONE","")&amp;IF(EXACT(A86,A85),"DONE","")</f>
        <v>DONE</v>
      </c>
    </row>
    <row r="87" spans="1:2" x14ac:dyDescent="0.75">
      <c r="A87" t="s">
        <v>77</v>
      </c>
      <c r="B87" t="str">
        <f>IF(COUNTIF(Albums!F:F, A87)+0,"DONE","")&amp;IF(EXACT(A87,A86),"DONE","")</f>
        <v>DONE</v>
      </c>
    </row>
    <row r="88" spans="1:2" x14ac:dyDescent="0.75">
      <c r="A88" t="s">
        <v>78</v>
      </c>
      <c r="B88" t="str">
        <f>IF(COUNTIF(Albums!F:F, A88)+0,"DONE","")&amp;IF(EXACT(A88,A87),"DONE","")</f>
        <v>DONE</v>
      </c>
    </row>
    <row r="89" spans="1:2" x14ac:dyDescent="0.75">
      <c r="A89" t="s">
        <v>80</v>
      </c>
      <c r="B89" t="str">
        <f>IF(COUNTIF(Albums!F:F, A89)+0,"DONE","")&amp;IF(EXACT(A89,A88),"DONE","")</f>
        <v>DONE</v>
      </c>
    </row>
    <row r="90" spans="1:2" x14ac:dyDescent="0.75">
      <c r="A90" t="s">
        <v>81</v>
      </c>
      <c r="B90" t="str">
        <f>IF(COUNTIF(Albums!F:F, A90)+0,"DONE","")&amp;IF(EXACT(A90,A89),"DONE","")</f>
        <v>DONE</v>
      </c>
    </row>
    <row r="91" spans="1:2" x14ac:dyDescent="0.75">
      <c r="A91" t="s">
        <v>83</v>
      </c>
      <c r="B91" t="str">
        <f>IF(COUNTIF(Albums!F:F, A91)+0,"DONE","")&amp;IF(EXACT(A91,A90),"DONE","")</f>
        <v>DONE</v>
      </c>
    </row>
    <row r="92" spans="1:2" x14ac:dyDescent="0.75">
      <c r="A92" t="s">
        <v>82</v>
      </c>
      <c r="B92" t="str">
        <f>IF(COUNTIF(Albums!F:F, A92)+0,"DONE","")&amp;IF(EXACT(A92,A91),"DONE","")</f>
        <v>DONE</v>
      </c>
    </row>
    <row r="93" spans="1:2" x14ac:dyDescent="0.75">
      <c r="A93" t="s">
        <v>84</v>
      </c>
      <c r="B93" t="str">
        <f>IF(COUNTIF(Albums!F:F, A93)+0,"DONE","")&amp;IF(EXACT(A93,A92),"DONE","")</f>
        <v>DONE</v>
      </c>
    </row>
    <row r="94" spans="1:2" x14ac:dyDescent="0.75">
      <c r="A94" t="s">
        <v>86</v>
      </c>
      <c r="B94" t="str">
        <f>IF(COUNTIF(Albums!F:F, A94)+0,"DONE","")&amp;IF(EXACT(A94,A93),"DONE","")</f>
        <v>DONE</v>
      </c>
    </row>
    <row r="95" spans="1:2" x14ac:dyDescent="0.75">
      <c r="A95" t="s">
        <v>87</v>
      </c>
      <c r="B95" t="str">
        <f>IF(COUNTIF(Albums!F:F, A95)+0,"DONE","")&amp;IF(EXACT(A95,A94),"DONE","")</f>
        <v>DONE</v>
      </c>
    </row>
    <row r="96" spans="1:2" x14ac:dyDescent="0.75">
      <c r="A96" t="s">
        <v>85</v>
      </c>
      <c r="B96" t="str">
        <f>IF(COUNTIF(Albums!F:F, A96)+0,"DONE","")&amp;IF(EXACT(A96,A95),"DONE","")</f>
        <v>DONE</v>
      </c>
    </row>
    <row r="97" spans="1:2" x14ac:dyDescent="0.75">
      <c r="A97" t="s">
        <v>88</v>
      </c>
      <c r="B97" t="str">
        <f>IF(COUNTIF(Albums!F:F, A97)+0,"DONE","")&amp;IF(EXACT(A97,A96),"DONE","")</f>
        <v>DONE</v>
      </c>
    </row>
    <row r="98" spans="1:2" x14ac:dyDescent="0.75">
      <c r="A98" t="s">
        <v>89</v>
      </c>
      <c r="B98" t="str">
        <f>IF(COUNTIF(Albums!F:F, A98)+0,"DONE","")&amp;IF(EXACT(A98,A97),"DONE","")</f>
        <v>DONE</v>
      </c>
    </row>
    <row r="99" spans="1:2" x14ac:dyDescent="0.75">
      <c r="A99" t="s">
        <v>230</v>
      </c>
      <c r="B99" t="str">
        <f>IF(COUNTIF(Albums!F:F, A99)+0,"DONE","")&amp;IF(EXACT(A99,A98),"DONE","")</f>
        <v>DONE</v>
      </c>
    </row>
    <row r="100" spans="1:2" x14ac:dyDescent="0.75">
      <c r="A100" t="s">
        <v>90</v>
      </c>
      <c r="B100" t="str">
        <f>IF(COUNTIF(Albums!F:F, A100)+0,"DONE","")&amp;IF(EXACT(A100,A99),"DONE","")</f>
        <v>DONE</v>
      </c>
    </row>
    <row r="101" spans="1:2" x14ac:dyDescent="0.75">
      <c r="A101" t="s">
        <v>91</v>
      </c>
      <c r="B101" t="str">
        <f>IF(COUNTIF(Albums!F:F, A101)+0,"DONE","")&amp;IF(EXACT(A101,A100),"DONE","")</f>
        <v>DONE</v>
      </c>
    </row>
    <row r="102" spans="1:2" x14ac:dyDescent="0.75">
      <c r="A102" t="s">
        <v>92</v>
      </c>
      <c r="B102" t="str">
        <f>IF(COUNTIF(Albums!F:F, A102)+0,"DONE","")&amp;IF(EXACT(A102,A101),"DONE","")</f>
        <v>DONE</v>
      </c>
    </row>
    <row r="103" spans="1:2" x14ac:dyDescent="0.75">
      <c r="A103" t="s">
        <v>93</v>
      </c>
      <c r="B103" t="str">
        <f>IF(COUNTIF(Albums!F:F, A103)+0,"DONE","")&amp;IF(EXACT(A103,A102),"DONE","")</f>
        <v>DONE</v>
      </c>
    </row>
    <row r="104" spans="1:2" x14ac:dyDescent="0.75">
      <c r="A104" t="s">
        <v>94</v>
      </c>
      <c r="B104" t="str">
        <f>IF(COUNTIF(Albums!F:F, A104)+0,"DONE","")&amp;IF(EXACT(A104,A103),"DONE","")</f>
        <v>DONE</v>
      </c>
    </row>
    <row r="105" spans="1:2" x14ac:dyDescent="0.75">
      <c r="A105" t="s">
        <v>210</v>
      </c>
      <c r="B105" t="str">
        <f>IF(COUNTIF(Albums!F:F, A105)+0,"DONE","")&amp;IF(EXACT(A105,A104),"DONE","")</f>
        <v>DONE</v>
      </c>
    </row>
    <row r="106" spans="1:2" x14ac:dyDescent="0.75">
      <c r="A106" t="s">
        <v>226</v>
      </c>
      <c r="B106" t="str">
        <f>IF(COUNTIF(Albums!F:F, A106)+0,"DONE","")&amp;IF(EXACT(A106,A105),"DONE","")</f>
        <v>DONE</v>
      </c>
    </row>
    <row r="107" spans="1:2" x14ac:dyDescent="0.75">
      <c r="A107" t="s">
        <v>96</v>
      </c>
      <c r="B107" t="str">
        <f>IF(COUNTIF(Albums!F:F, A107)+0,"DONE","")&amp;IF(EXACT(A107,A106),"DONE","")</f>
        <v>DONE</v>
      </c>
    </row>
    <row r="108" spans="1:2" x14ac:dyDescent="0.75">
      <c r="A108" t="s">
        <v>95</v>
      </c>
      <c r="B108" t="str">
        <f>IF(COUNTIF(Albums!F:F, A108)+0,"DONE","")&amp;IF(EXACT(A108,A107),"DONE","")</f>
        <v>DONE</v>
      </c>
    </row>
    <row r="109" spans="1:2" x14ac:dyDescent="0.75">
      <c r="A109" t="s">
        <v>99</v>
      </c>
      <c r="B109" t="str">
        <f>IF(COUNTIF(Albums!F:F, A109)+0,"DONE","")&amp;IF(EXACT(A109,A108),"DONE","")</f>
        <v>DONE</v>
      </c>
    </row>
    <row r="110" spans="1:2" x14ac:dyDescent="0.75">
      <c r="A110" t="s">
        <v>97</v>
      </c>
      <c r="B110" t="str">
        <f>IF(COUNTIF(Albums!F:F, A110)+0,"DONE","")&amp;IF(EXACT(A110,A109),"DONE","")</f>
        <v>DONE</v>
      </c>
    </row>
    <row r="111" spans="1:2" x14ac:dyDescent="0.75">
      <c r="A111" t="s">
        <v>98</v>
      </c>
      <c r="B111" t="str">
        <f>IF(COUNTIF(Albums!F:F, A111)+0,"DONE","")&amp;IF(EXACT(A111,A110),"DONE","")</f>
        <v>DONE</v>
      </c>
    </row>
    <row r="112" spans="1:2" x14ac:dyDescent="0.75">
      <c r="A112" t="s">
        <v>100</v>
      </c>
      <c r="B112" t="str">
        <f>IF(COUNTIF(Albums!F:F, A112)+0,"DONE","")&amp;IF(EXACT(A112,A111),"DONE","")</f>
        <v>DONE</v>
      </c>
    </row>
    <row r="113" spans="1:2" x14ac:dyDescent="0.75">
      <c r="A113" t="s">
        <v>101</v>
      </c>
      <c r="B113" t="str">
        <f>IF(COUNTIF(Albums!F:F, A113)+0,"DONE","")&amp;IF(EXACT(A113,A112),"DONE","")</f>
        <v>DONE</v>
      </c>
    </row>
    <row r="114" spans="1:2" x14ac:dyDescent="0.75">
      <c r="A114" t="s">
        <v>231</v>
      </c>
      <c r="B114" t="str">
        <f>IF(COUNTIF(Albums!F:F, A114)+0,"DONE","")&amp;IF(EXACT(A114,A113),"DONE","")</f>
        <v>DONE</v>
      </c>
    </row>
    <row r="115" spans="1:2" x14ac:dyDescent="0.75">
      <c r="A115" t="s">
        <v>102</v>
      </c>
      <c r="B115" t="str">
        <f>IF(COUNTIF(Albums!F:F, A115)+0,"DONE","")&amp;IF(EXACT(A115,A114),"DONE","")</f>
        <v>DONE</v>
      </c>
    </row>
    <row r="116" spans="1:2" x14ac:dyDescent="0.75">
      <c r="A116" t="s">
        <v>105</v>
      </c>
      <c r="B116" t="str">
        <f>IF(COUNTIF(Albums!F:F, A116)+0,"DONE","")&amp;IF(EXACT(A116,A115),"DONE","")</f>
        <v>DONE</v>
      </c>
    </row>
    <row r="117" spans="1:2" x14ac:dyDescent="0.75">
      <c r="A117" t="s">
        <v>104</v>
      </c>
      <c r="B117" t="str">
        <f>IF(COUNTIF(Albums!F:F, A117)+0,"DONE","")&amp;IF(EXACT(A117,A116),"DONE","")</f>
        <v>DONE</v>
      </c>
    </row>
    <row r="118" spans="1:2" x14ac:dyDescent="0.75">
      <c r="A118" t="s">
        <v>103</v>
      </c>
      <c r="B118" t="str">
        <f>IF(COUNTIF(Albums!F:F, A118)+0,"DONE","")&amp;IF(EXACT(A118,A117),"DONE","")</f>
        <v>DONE</v>
      </c>
    </row>
    <row r="119" spans="1:2" x14ac:dyDescent="0.75">
      <c r="A119" t="s">
        <v>106</v>
      </c>
      <c r="B119" t="str">
        <f>IF(COUNTIF(Albums!F:F, A119)+0,"DONE","")&amp;IF(EXACT(A119,A118),"DONE","")</f>
        <v>DONE</v>
      </c>
    </row>
    <row r="120" spans="1:2" x14ac:dyDescent="0.75">
      <c r="A120" t="s">
        <v>107</v>
      </c>
      <c r="B120" t="str">
        <f>IF(COUNTIF(Albums!F:F, A120)+0,"DONE","")&amp;IF(EXACT(A120,A119),"DONE","")</f>
        <v>DONE</v>
      </c>
    </row>
    <row r="121" spans="1:2" x14ac:dyDescent="0.75">
      <c r="A121" t="s">
        <v>108</v>
      </c>
      <c r="B121" t="str">
        <f>IF(COUNTIF(Albums!F:F, A121)+0,"DONE","")&amp;IF(EXACT(A121,A120),"DONE","")</f>
        <v>DONE</v>
      </c>
    </row>
    <row r="122" spans="1:2" x14ac:dyDescent="0.75">
      <c r="A122" t="s">
        <v>109</v>
      </c>
      <c r="B122" t="str">
        <f>IF(COUNTIF(Albums!F:F, A122)+0,"DONE","")&amp;IF(EXACT(A122,A121),"DONE","")</f>
        <v>DONE</v>
      </c>
    </row>
    <row r="123" spans="1:2" x14ac:dyDescent="0.75">
      <c r="A123" t="s">
        <v>110</v>
      </c>
      <c r="B123" t="str">
        <f>IF(COUNTIF(Albums!F:F, A123)+0,"DONE","")&amp;IF(EXACT(A123,A122),"DONE","")</f>
        <v>DONE</v>
      </c>
    </row>
    <row r="124" spans="1:2" x14ac:dyDescent="0.75">
      <c r="A124" t="s">
        <v>232</v>
      </c>
      <c r="B124" t="str">
        <f>IF(COUNTIF(Albums!F:F, A124)+0,"DONE","")&amp;IF(EXACT(A124,A123),"DONE","")</f>
        <v>DONE</v>
      </c>
    </row>
    <row r="125" spans="1:2" x14ac:dyDescent="0.75">
      <c r="A125" t="s">
        <v>233</v>
      </c>
      <c r="B125" t="str">
        <f>IF(COUNTIF(Albums!F:F, A125)+0,"DONE","")&amp;IF(EXACT(A125,A124),"DONE","")</f>
        <v>DONE</v>
      </c>
    </row>
    <row r="126" spans="1:2" x14ac:dyDescent="0.75">
      <c r="A126" t="s">
        <v>112</v>
      </c>
      <c r="B126" t="str">
        <f>IF(COUNTIF(Albums!F:F, A126)+0,"DONE","")&amp;IF(EXACT(A126,A125),"DONE","")</f>
        <v>DONE</v>
      </c>
    </row>
    <row r="127" spans="1:2" x14ac:dyDescent="0.75">
      <c r="A127" t="s">
        <v>111</v>
      </c>
      <c r="B127" t="str">
        <f>IF(COUNTIF(Albums!F:F, A127)+0,"DONE","")&amp;IF(EXACT(A127,A126),"DONE","")</f>
        <v>DONE</v>
      </c>
    </row>
    <row r="128" spans="1:2" x14ac:dyDescent="0.75">
      <c r="A128" t="s">
        <v>113</v>
      </c>
      <c r="B128" t="str">
        <f>IF(COUNTIF(Albums!F:F, A128)+0,"DONE","")&amp;IF(EXACT(A128,A127),"DONE","")</f>
        <v>DONE</v>
      </c>
    </row>
    <row r="129" spans="1:2" x14ac:dyDescent="0.75">
      <c r="A129" t="s">
        <v>234</v>
      </c>
      <c r="B129" t="str">
        <f>IF(COUNTIF(Albums!F:F, A129)+0,"DONE","")&amp;IF(EXACT(A129,A128),"DONE","")</f>
        <v>DONE</v>
      </c>
    </row>
    <row r="130" spans="1:2" x14ac:dyDescent="0.75">
      <c r="A130" t="s">
        <v>114</v>
      </c>
      <c r="B130" t="str">
        <f>IF(COUNTIF(Albums!F:F, A130)+0,"DONE","")&amp;IF(EXACT(A130,A129),"DONE","")</f>
        <v>DONE</v>
      </c>
    </row>
    <row r="131" spans="1:2" x14ac:dyDescent="0.75">
      <c r="A131" t="s">
        <v>115</v>
      </c>
      <c r="B131" t="str">
        <f>IF(COUNTIF(Albums!F:F, A131)+0,"DONE","")&amp;IF(EXACT(A131,A130),"DONE","")</f>
        <v>DONE</v>
      </c>
    </row>
    <row r="132" spans="1:2" x14ac:dyDescent="0.75">
      <c r="A132" t="s">
        <v>116</v>
      </c>
      <c r="B132" t="str">
        <f>IF(COUNTIF(Albums!F:F, A132)+0,"DONE","")&amp;IF(EXACT(A132,A131),"DONE","")</f>
        <v>DONE</v>
      </c>
    </row>
    <row r="133" spans="1:2" x14ac:dyDescent="0.75">
      <c r="A133" t="s">
        <v>117</v>
      </c>
      <c r="B133" t="str">
        <f>IF(COUNTIF(Albums!F:F, A133)+0,"DONE","")&amp;IF(EXACT(A133,A132),"DONE","")</f>
        <v>DONE</v>
      </c>
    </row>
    <row r="134" spans="1:2" x14ac:dyDescent="0.75">
      <c r="A134" t="s">
        <v>118</v>
      </c>
      <c r="B134" t="str">
        <f>IF(COUNTIF(Albums!F:F, A134)+0,"DONE","")&amp;IF(EXACT(A134,A133),"DONE","")</f>
        <v>DONE</v>
      </c>
    </row>
    <row r="135" spans="1:2" x14ac:dyDescent="0.75">
      <c r="A135" t="s">
        <v>119</v>
      </c>
      <c r="B135" t="str">
        <f>IF(COUNTIF(Albums!F:F, A135)+0,"DONE","")&amp;IF(EXACT(A135,A134),"DONE","")</f>
        <v>DONE</v>
      </c>
    </row>
    <row r="136" spans="1:2" x14ac:dyDescent="0.75">
      <c r="A136" t="s">
        <v>120</v>
      </c>
      <c r="B136" t="str">
        <f>IF(COUNTIF(Albums!F:F, A136)+0,"DONE","")&amp;IF(EXACT(A136,A135),"DONE","")</f>
        <v>DONE</v>
      </c>
    </row>
    <row r="137" spans="1:2" x14ac:dyDescent="0.75">
      <c r="A137" t="s">
        <v>121</v>
      </c>
      <c r="B137" t="str">
        <f>IF(COUNTIF(Albums!F:F, A137)+0,"DONE","")&amp;IF(EXACT(A137,A136),"DONE","")</f>
        <v>DONE</v>
      </c>
    </row>
    <row r="138" spans="1:2" x14ac:dyDescent="0.75">
      <c r="A138" t="s">
        <v>123</v>
      </c>
      <c r="B138" t="str">
        <f>IF(COUNTIF(Albums!F:F, A138)+0,"DONE","")&amp;IF(EXACT(A138,A137),"DONE","")</f>
        <v>DONE</v>
      </c>
    </row>
    <row r="139" spans="1:2" x14ac:dyDescent="0.75">
      <c r="A139" t="s">
        <v>124</v>
      </c>
      <c r="B139" t="str">
        <f>IF(COUNTIF(Albums!F:F, A139)+0,"DONE","")&amp;IF(EXACT(A139,A138),"DONE","")</f>
        <v>DONE</v>
      </c>
    </row>
    <row r="140" spans="1:2" x14ac:dyDescent="0.75">
      <c r="A140" t="s">
        <v>125</v>
      </c>
      <c r="B140" t="str">
        <f>IF(COUNTIF(Albums!F:F, A140)+0,"DONE","")&amp;IF(EXACT(A140,A139),"DONE","")</f>
        <v>DONE</v>
      </c>
    </row>
    <row r="141" spans="1:2" x14ac:dyDescent="0.75">
      <c r="A141" t="s">
        <v>126</v>
      </c>
      <c r="B141" t="str">
        <f>IF(COUNTIF(Albums!F:F, A141)+0,"DONE","")&amp;IF(EXACT(A141,A140),"DONE","")</f>
        <v>DONE</v>
      </c>
    </row>
    <row r="142" spans="1:2" x14ac:dyDescent="0.75">
      <c r="A142" t="s">
        <v>127</v>
      </c>
      <c r="B142" t="str">
        <f>IF(COUNTIF(Albums!F:F, A142)+0,"DONE","")&amp;IF(EXACT(A142,A141),"DONE","")</f>
        <v>DONE</v>
      </c>
    </row>
    <row r="143" spans="1:2" x14ac:dyDescent="0.75">
      <c r="A143" t="s">
        <v>129</v>
      </c>
      <c r="B143" t="str">
        <f>IF(COUNTIF(Albums!F:F, A143)+0,"DONE","")&amp;IF(EXACT(A143,A142),"DONE","")</f>
        <v>DONE</v>
      </c>
    </row>
    <row r="144" spans="1:2" x14ac:dyDescent="0.75">
      <c r="A144" t="s">
        <v>130</v>
      </c>
      <c r="B144" t="str">
        <f>IF(COUNTIF(Albums!F:F, A144)+0,"DONE","")&amp;IF(EXACT(A144,A143),"DONE","")</f>
        <v>DONE</v>
      </c>
    </row>
    <row r="145" spans="1:2" x14ac:dyDescent="0.75">
      <c r="A145" t="s">
        <v>131</v>
      </c>
      <c r="B145" t="str">
        <f>IF(COUNTIF(Albums!F:F, A145)+0,"DONE","")&amp;IF(EXACT(A145,A144),"DONE","")</f>
        <v>DONE</v>
      </c>
    </row>
    <row r="146" spans="1:2" x14ac:dyDescent="0.75">
      <c r="A146" t="s">
        <v>135</v>
      </c>
      <c r="B146" t="str">
        <f>IF(COUNTIF(Albums!F:F, A146)+0,"DONE","")&amp;IF(EXACT(A146,A145),"DONE","")</f>
        <v>DONE</v>
      </c>
    </row>
    <row r="147" spans="1:2" x14ac:dyDescent="0.75">
      <c r="A147" t="s">
        <v>137</v>
      </c>
      <c r="B147" t="str">
        <f>IF(COUNTIF(Albums!F:F, A147)+0,"DONE","")&amp;IF(EXACT(A147,A146),"DONE","")</f>
        <v>DONE</v>
      </c>
    </row>
    <row r="148" spans="1:2" x14ac:dyDescent="0.75">
      <c r="A148" t="s">
        <v>133</v>
      </c>
      <c r="B148" t="str">
        <f>IF(COUNTIF(Albums!F:F, A148)+0,"DONE","")&amp;IF(EXACT(A148,A147),"DONE","")</f>
        <v>DONE</v>
      </c>
    </row>
    <row r="149" spans="1:2" x14ac:dyDescent="0.75">
      <c r="A149" t="s">
        <v>134</v>
      </c>
      <c r="B149" t="str">
        <f>IF(COUNTIF(Albums!F:F, A149)+0,"DONE","")&amp;IF(EXACT(A149,A148),"DONE","")</f>
        <v>DONE</v>
      </c>
    </row>
    <row r="150" spans="1:2" x14ac:dyDescent="0.75">
      <c r="A150" t="s">
        <v>136</v>
      </c>
      <c r="B150" t="str">
        <f>IF(COUNTIF(Albums!F:F, A150)+0,"DONE","")&amp;IF(EXACT(A150,A149),"DONE","")</f>
        <v>DONE</v>
      </c>
    </row>
    <row r="151" spans="1:2" x14ac:dyDescent="0.75">
      <c r="A151" t="s">
        <v>138</v>
      </c>
      <c r="B151" t="str">
        <f>IF(COUNTIF(Albums!F:F, A151)+0,"DONE","")&amp;IF(EXACT(A151,A150),"DONE","")</f>
        <v>DONE</v>
      </c>
    </row>
    <row r="152" spans="1:2" x14ac:dyDescent="0.75">
      <c r="A152" t="s">
        <v>128</v>
      </c>
      <c r="B152" t="str">
        <f>IF(COUNTIF(Albums!F:F, A152)+0,"DONE","")&amp;IF(EXACT(A152,A151),"DONE","")</f>
        <v>DONE</v>
      </c>
    </row>
    <row r="153" spans="1:2" x14ac:dyDescent="0.75">
      <c r="A153" t="s">
        <v>132</v>
      </c>
      <c r="B153" t="str">
        <f>IF(COUNTIF(Albums!F:F, A153)+0,"DONE","")&amp;IF(EXACT(A153,A152),"DONE","")</f>
        <v>DONE</v>
      </c>
    </row>
    <row r="154" spans="1:2" x14ac:dyDescent="0.75">
      <c r="A154" t="s">
        <v>139</v>
      </c>
      <c r="B154" t="str">
        <f>IF(COUNTIF(Albums!F:F, A154)+0,"DONE","")&amp;IF(EXACT(A154,A153),"DONE","")</f>
        <v>DONE</v>
      </c>
    </row>
    <row r="155" spans="1:2" x14ac:dyDescent="0.75">
      <c r="A155" t="s">
        <v>140</v>
      </c>
      <c r="B155" t="str">
        <f>IF(COUNTIF(Albums!F:F, A155)+0,"DONE","")&amp;IF(EXACT(A155,A154),"DONE","")</f>
        <v>DONE</v>
      </c>
    </row>
    <row r="156" spans="1:2" x14ac:dyDescent="0.75">
      <c r="A156" t="s">
        <v>122</v>
      </c>
      <c r="B156" t="str">
        <f>IF(COUNTIF(Albums!F:F, A156)+0,"DONE","")&amp;IF(EXACT(A156,A155),"DONE","")</f>
        <v>DONE</v>
      </c>
    </row>
    <row r="157" spans="1:2" x14ac:dyDescent="0.75">
      <c r="A157" t="s">
        <v>141</v>
      </c>
      <c r="B157" t="str">
        <f>IF(COUNTIF(Albums!F:F, A157)+0,"DONE","")&amp;IF(EXACT(A157,A156),"DONE","")</f>
        <v>DONE</v>
      </c>
    </row>
    <row r="158" spans="1:2" x14ac:dyDescent="0.75">
      <c r="A158" t="s">
        <v>142</v>
      </c>
      <c r="B158" t="str">
        <f>IF(COUNTIF(Albums!F:F, A158)+0,"DONE","")&amp;IF(EXACT(A158,A157),"DONE","")</f>
        <v>DONE</v>
      </c>
    </row>
    <row r="159" spans="1:2" x14ac:dyDescent="0.75">
      <c r="A159" t="s">
        <v>143</v>
      </c>
      <c r="B159" t="str">
        <f>IF(COUNTIF(Albums!F:F, A159)+0,"DONE","")&amp;IF(EXACT(A159,A158),"DONE","")</f>
        <v>DONE</v>
      </c>
    </row>
    <row r="160" spans="1:2" x14ac:dyDescent="0.75">
      <c r="A160" t="s">
        <v>148</v>
      </c>
      <c r="B160" t="str">
        <f>IF(COUNTIF(Albums!F:F, A160)+0,"DONE","")&amp;IF(EXACT(A160,A159),"DONE","")</f>
        <v>DONE</v>
      </c>
    </row>
    <row r="161" spans="1:2" x14ac:dyDescent="0.75">
      <c r="A161" t="s">
        <v>144</v>
      </c>
      <c r="B161" t="str">
        <f>IF(COUNTIF(Albums!F:F, A161)+0,"DONE","")&amp;IF(EXACT(A161,A160),"DONE","")</f>
        <v>DONE</v>
      </c>
    </row>
    <row r="162" spans="1:2" x14ac:dyDescent="0.75">
      <c r="A162" t="s">
        <v>145</v>
      </c>
      <c r="B162" t="str">
        <f>IF(COUNTIF(Albums!F:F, A162)+0,"DONE","")&amp;IF(EXACT(A162,A161),"DONE","")</f>
        <v>DONE</v>
      </c>
    </row>
    <row r="163" spans="1:2" x14ac:dyDescent="0.75">
      <c r="A163" t="s">
        <v>146</v>
      </c>
      <c r="B163" t="str">
        <f>IF(COUNTIF(Albums!F:F, A163)+0,"DONE","")&amp;IF(EXACT(A163,A162),"DONE","")</f>
        <v>DONE</v>
      </c>
    </row>
    <row r="164" spans="1:2" x14ac:dyDescent="0.75">
      <c r="A164" t="s">
        <v>147</v>
      </c>
      <c r="B164" t="str">
        <f>IF(COUNTIF(Albums!F:F, A164)+0,"DONE","")&amp;IF(EXACT(A164,A163),"DONE","")</f>
        <v>DONE</v>
      </c>
    </row>
    <row r="165" spans="1:2" x14ac:dyDescent="0.75">
      <c r="A165" t="s">
        <v>149</v>
      </c>
      <c r="B165" t="str">
        <f>IF(COUNTIF(Albums!F:F, A165)+0,"DONE","")&amp;IF(EXACT(A165,A164),"DONE","")</f>
        <v>DONE</v>
      </c>
    </row>
    <row r="166" spans="1:2" x14ac:dyDescent="0.75">
      <c r="A166" t="s">
        <v>150</v>
      </c>
      <c r="B166" t="str">
        <f>IF(COUNTIF(Albums!F:F, A166)+0,"DONE","")&amp;IF(EXACT(A166,A165),"DONE","")</f>
        <v>DONE</v>
      </c>
    </row>
    <row r="167" spans="1:2" x14ac:dyDescent="0.75">
      <c r="A167" t="s">
        <v>151</v>
      </c>
      <c r="B167" t="str">
        <f>IF(COUNTIF(Albums!F:F, A167)+0,"DONE","")&amp;IF(EXACT(A167,A166),"DONE","")</f>
        <v>DONE</v>
      </c>
    </row>
    <row r="168" spans="1:2" x14ac:dyDescent="0.75">
      <c r="A168" t="s">
        <v>154</v>
      </c>
      <c r="B168" t="str">
        <f>IF(COUNTIF(Albums!F:F, A168)+0,"DONE","")&amp;IF(EXACT(A168,A167),"DONE","")</f>
        <v>DONE</v>
      </c>
    </row>
    <row r="169" spans="1:2" x14ac:dyDescent="0.75">
      <c r="A169" t="s">
        <v>155</v>
      </c>
      <c r="B169" t="str">
        <f>IF(COUNTIF(Albums!F:F, A169)+0,"DONE","")&amp;IF(EXACT(A169,A168),"DONE","")</f>
        <v>DONE</v>
      </c>
    </row>
    <row r="170" spans="1:2" x14ac:dyDescent="0.75">
      <c r="A170" t="s">
        <v>156</v>
      </c>
      <c r="B170" t="str">
        <f>IF(COUNTIF(Albums!F:F, A170)+0,"DONE","")&amp;IF(EXACT(A170,A169),"DONE","")</f>
        <v>DONE</v>
      </c>
    </row>
    <row r="171" spans="1:2" x14ac:dyDescent="0.75">
      <c r="A171" t="s">
        <v>157</v>
      </c>
      <c r="B171" t="str">
        <f>IF(COUNTIF(Albums!F:F, A171)+0,"DONE","")&amp;IF(EXACT(A171,A170),"DONE","")</f>
        <v>DONE</v>
      </c>
    </row>
    <row r="172" spans="1:2" x14ac:dyDescent="0.75">
      <c r="A172" t="s">
        <v>159</v>
      </c>
      <c r="B172" t="str">
        <f>IF(COUNTIF(Albums!F:F, A172)+0,"DONE","")&amp;IF(EXACT(A172,A171),"DONE","")</f>
        <v>DONE</v>
      </c>
    </row>
    <row r="173" spans="1:2" x14ac:dyDescent="0.75">
      <c r="A173" t="s">
        <v>158</v>
      </c>
      <c r="B173" t="str">
        <f>IF(COUNTIF(Albums!F:F, A173)+0,"DONE","")&amp;IF(EXACT(A173,A172),"DONE","")</f>
        <v>DONE</v>
      </c>
    </row>
    <row r="174" spans="1:2" x14ac:dyDescent="0.75">
      <c r="A174" t="s">
        <v>160</v>
      </c>
      <c r="B174" t="str">
        <f>IF(COUNTIF(Albums!F:F, A174)+0,"DONE","")&amp;IF(EXACT(A174,A173),"DONE","")</f>
        <v>DONE</v>
      </c>
    </row>
    <row r="175" spans="1:2" x14ac:dyDescent="0.75">
      <c r="A175" t="s">
        <v>161</v>
      </c>
      <c r="B175" t="str">
        <f>IF(COUNTIF(Albums!F:F, A175)+0,"DONE","")&amp;IF(EXACT(A175,A174),"DONE","")</f>
        <v>DONE</v>
      </c>
    </row>
    <row r="176" spans="1:2" x14ac:dyDescent="0.75">
      <c r="A176" t="s">
        <v>162</v>
      </c>
      <c r="B176" t="str">
        <f>IF(COUNTIF(Albums!F:F, A176)+0,"DONE","")&amp;IF(EXACT(A176,A175),"DONE","")</f>
        <v>DONE</v>
      </c>
    </row>
    <row r="177" spans="1:2" x14ac:dyDescent="0.75">
      <c r="A177" t="s">
        <v>163</v>
      </c>
      <c r="B177" t="str">
        <f>IF(COUNTIF(Albums!F:F, A177)+0,"DONE","")&amp;IF(EXACT(A177,A176),"DONE","")</f>
        <v>DONE</v>
      </c>
    </row>
    <row r="178" spans="1:2" x14ac:dyDescent="0.75">
      <c r="A178" t="s">
        <v>164</v>
      </c>
      <c r="B178" t="str">
        <f>IF(COUNTIF(Albums!F:F, A178)+0,"DONE","")&amp;IF(EXACT(A178,A177),"DONE","")</f>
        <v>DONE</v>
      </c>
    </row>
    <row r="179" spans="1:2" x14ac:dyDescent="0.75">
      <c r="A179" t="s">
        <v>165</v>
      </c>
      <c r="B179" t="str">
        <f>IF(COUNTIF(Albums!F:F, A179)+0,"DONE","")&amp;IF(EXACT(A179,A178),"DONE","")</f>
        <v>DONE</v>
      </c>
    </row>
    <row r="180" spans="1:2" x14ac:dyDescent="0.75">
      <c r="A180" t="s">
        <v>166</v>
      </c>
      <c r="B180" t="str">
        <f>IF(COUNTIF(Albums!F:F, A180)+0,"DONE","")&amp;IF(EXACT(A180,A179),"DONE","")</f>
        <v>DONE</v>
      </c>
    </row>
    <row r="181" spans="1:2" x14ac:dyDescent="0.75">
      <c r="A181" t="s">
        <v>235</v>
      </c>
      <c r="B181" t="str">
        <f>IF(COUNTIF(Albums!F:F, A181)+0,"DONE","")&amp;IF(EXACT(A181,A180),"DONE","")</f>
        <v>DONE</v>
      </c>
    </row>
    <row r="182" spans="1:2" x14ac:dyDescent="0.75">
      <c r="A182" t="s">
        <v>167</v>
      </c>
      <c r="B182" t="str">
        <f>IF(COUNTIF(Albums!F:F, A182)+0,"DONE","")&amp;IF(EXACT(A182,A181),"DONE","")</f>
        <v>DONE</v>
      </c>
    </row>
    <row r="183" spans="1:2" x14ac:dyDescent="0.75">
      <c r="A183" t="s">
        <v>236</v>
      </c>
      <c r="B183" t="str">
        <f>IF(COUNTIF(Albums!F:F, A183)+0,"DONE","")&amp;IF(EXACT(A183,A182),"DONE","")</f>
        <v>DONE</v>
      </c>
    </row>
    <row r="184" spans="1:2" x14ac:dyDescent="0.75">
      <c r="A184" t="s">
        <v>168</v>
      </c>
      <c r="B184" t="str">
        <f>IF(COUNTIF(Albums!F:F, A184)+0,"DONE","")&amp;IF(EXACT(A184,A183),"DONE","")</f>
        <v>DONE</v>
      </c>
    </row>
    <row r="185" spans="1:2" x14ac:dyDescent="0.75">
      <c r="A185" t="s">
        <v>169</v>
      </c>
      <c r="B185" t="str">
        <f>IF(COUNTIF(Albums!F:F, A185)+0,"DONE","")&amp;IF(EXACT(A185,A184),"DONE","")</f>
        <v>DONE</v>
      </c>
    </row>
    <row r="186" spans="1:2" x14ac:dyDescent="0.75">
      <c r="A186" t="s">
        <v>170</v>
      </c>
      <c r="B186" t="str">
        <f>IF(COUNTIF(Albums!F:F, A186)+0,"DONE","")&amp;IF(EXACT(A186,A185),"DONE","")</f>
        <v>DONE</v>
      </c>
    </row>
    <row r="187" spans="1:2" x14ac:dyDescent="0.75">
      <c r="A187" t="s">
        <v>171</v>
      </c>
      <c r="B187" t="str">
        <f>IF(COUNTIF(Albums!F:F, A187)+0,"DONE","")&amp;IF(EXACT(A187,A186),"DONE","")</f>
        <v>DONE</v>
      </c>
    </row>
    <row r="188" spans="1:2" x14ac:dyDescent="0.75">
      <c r="A188" t="s">
        <v>173</v>
      </c>
      <c r="B188" t="str">
        <f>IF(COUNTIF(Albums!F:F, A188)+0,"DONE","")&amp;IF(EXACT(A188,A187),"DONE","")</f>
        <v>DONE</v>
      </c>
    </row>
    <row r="189" spans="1:2" x14ac:dyDescent="0.75">
      <c r="A189" t="s">
        <v>174</v>
      </c>
      <c r="B189" t="str">
        <f>IF(COUNTIF(Albums!F:F, A189)+0,"DONE","")&amp;IF(EXACT(A189,A188),"DONE","")</f>
        <v>DONE</v>
      </c>
    </row>
    <row r="190" spans="1:2" x14ac:dyDescent="0.75">
      <c r="A190" t="s">
        <v>175</v>
      </c>
      <c r="B190" t="str">
        <f>IF(COUNTIF(Albums!F:F, A190)+0,"DONE","")&amp;IF(EXACT(A190,A189),"DONE","")</f>
        <v>DONE</v>
      </c>
    </row>
    <row r="191" spans="1:2" x14ac:dyDescent="0.75">
      <c r="A191" t="s">
        <v>176</v>
      </c>
      <c r="B191" t="str">
        <f>IF(COUNTIF(Albums!F:F, A191)+0,"DONE","")&amp;IF(EXACT(A191,A190),"DONE","")</f>
        <v>DONE</v>
      </c>
    </row>
    <row r="192" spans="1:2" x14ac:dyDescent="0.75">
      <c r="A192" t="s">
        <v>177</v>
      </c>
      <c r="B192" t="str">
        <f>IF(COUNTIF(Albums!F:F, A192)+0,"DONE","")&amp;IF(EXACT(A192,A191),"DONE","")</f>
        <v>DONE</v>
      </c>
    </row>
    <row r="193" spans="1:2" x14ac:dyDescent="0.75">
      <c r="A193" t="s">
        <v>178</v>
      </c>
      <c r="B193" t="str">
        <f>IF(COUNTIF(Albums!F:F, A193)+0,"DONE","")&amp;IF(EXACT(A193,A192),"DONE","")</f>
        <v>DONE</v>
      </c>
    </row>
    <row r="194" spans="1:2" x14ac:dyDescent="0.75">
      <c r="A194" t="s">
        <v>179</v>
      </c>
      <c r="B194" t="str">
        <f>IF(COUNTIF(Albums!F:F, A194)+0,"DONE","")&amp;IF(EXACT(A194,A193),"DONE","")</f>
        <v>DONE</v>
      </c>
    </row>
    <row r="195" spans="1:2" x14ac:dyDescent="0.75">
      <c r="A195" t="s">
        <v>153</v>
      </c>
      <c r="B195" t="str">
        <f>IF(COUNTIF(Albums!F:F, A195)+0,"DONE","")&amp;IF(EXACT(A195,A194),"DONE","")</f>
        <v>DONE</v>
      </c>
    </row>
    <row r="196" spans="1:2" x14ac:dyDescent="0.75">
      <c r="A196" t="s">
        <v>152</v>
      </c>
      <c r="B196" t="str">
        <f>IF(COUNTIF(Albums!F:F, A196)+0,"DONE","")&amp;IF(EXACT(A196,A195),"DONE","")</f>
        <v>DONE</v>
      </c>
    </row>
    <row r="197" spans="1:2" x14ac:dyDescent="0.75">
      <c r="A197" t="s">
        <v>180</v>
      </c>
      <c r="B197" t="str">
        <f>IF(COUNTIF(Albums!F:F, A197)+0,"DONE","")&amp;IF(EXACT(A197,A196),"DONE","")</f>
        <v>DONE</v>
      </c>
    </row>
    <row r="198" spans="1:2" x14ac:dyDescent="0.75">
      <c r="A198" t="s">
        <v>181</v>
      </c>
      <c r="B198" t="str">
        <f>IF(COUNTIF(Albums!F:F, A198)+0,"DONE","")&amp;IF(EXACT(A198,A197),"DONE","")</f>
        <v>DONE</v>
      </c>
    </row>
    <row r="199" spans="1:2" x14ac:dyDescent="0.75">
      <c r="A199" t="s">
        <v>182</v>
      </c>
      <c r="B199" t="str">
        <f>IF(COUNTIF(Albums!F:F, A199)+0,"DONE","")&amp;IF(EXACT(A199,A198),"DONE","")</f>
        <v>DONE</v>
      </c>
    </row>
    <row r="200" spans="1:2" x14ac:dyDescent="0.75">
      <c r="A200" t="s">
        <v>204</v>
      </c>
      <c r="B200" t="str">
        <f>IF(COUNTIF(Albums!F:F, A200)+0,"DONE","")&amp;IF(EXACT(A200,A199),"DONE","")</f>
        <v>DONE</v>
      </c>
    </row>
    <row r="201" spans="1:2" x14ac:dyDescent="0.75">
      <c r="A201" t="s">
        <v>183</v>
      </c>
      <c r="B201" t="str">
        <f>IF(COUNTIF(Albums!F:F, A201)+0,"DONE","")&amp;IF(EXACT(A201,A200),"DONE","")</f>
        <v>DONE</v>
      </c>
    </row>
    <row r="202" spans="1:2" x14ac:dyDescent="0.75">
      <c r="A202" t="s">
        <v>184</v>
      </c>
      <c r="B202" t="str">
        <f>IF(COUNTIF(Albums!F:F, A202)+0,"DONE","")&amp;IF(EXACT(A202,A201),"DONE","")</f>
        <v>DONE</v>
      </c>
    </row>
    <row r="203" spans="1:2" x14ac:dyDescent="0.75">
      <c r="A203" t="s">
        <v>185</v>
      </c>
      <c r="B203" t="str">
        <f>IF(COUNTIF(Albums!F:F, A203)+0,"DONE","")&amp;IF(EXACT(A203,A202),"DONE","")</f>
        <v>DONE</v>
      </c>
    </row>
    <row r="204" spans="1:2" x14ac:dyDescent="0.75">
      <c r="A204" t="s">
        <v>237</v>
      </c>
      <c r="B204" t="str">
        <f>IF(COUNTIF(Albums!F:F, A204)+0,"DONE","")&amp;IF(EXACT(A204,A203),"DONE","")</f>
        <v>DONE</v>
      </c>
    </row>
    <row r="205" spans="1:2" x14ac:dyDescent="0.75">
      <c r="A205" t="s">
        <v>186</v>
      </c>
      <c r="B205" t="str">
        <f>IF(COUNTIF(Albums!F:F, A205)+0,"DONE","")&amp;IF(EXACT(A205,A204),"DONE","")</f>
        <v>DONE</v>
      </c>
    </row>
    <row r="206" spans="1:2" x14ac:dyDescent="0.75">
      <c r="A206" t="s">
        <v>187</v>
      </c>
      <c r="B206" t="str">
        <f>IF(COUNTIF(Albums!F:F, A206)+0,"DONE","")&amp;IF(EXACT(A206,A205),"DONE","")</f>
        <v>DONE</v>
      </c>
    </row>
    <row r="207" spans="1:2" x14ac:dyDescent="0.75">
      <c r="A207" t="s">
        <v>188</v>
      </c>
      <c r="B207" t="str">
        <f>IF(COUNTIF(Albums!F:F, A207)+0,"DONE","")&amp;IF(EXACT(A207,A206),"DONE","")</f>
        <v>DONE</v>
      </c>
    </row>
    <row r="208" spans="1:2" x14ac:dyDescent="0.75">
      <c r="A208" t="s">
        <v>189</v>
      </c>
      <c r="B208" t="str">
        <f>IF(COUNTIF(Albums!F:F, A208)+0,"DONE","")&amp;IF(EXACT(A208,A207),"DONE","")</f>
        <v>DONE</v>
      </c>
    </row>
    <row r="209" spans="1:2" x14ac:dyDescent="0.75">
      <c r="A209" t="s">
        <v>190</v>
      </c>
      <c r="B209" t="str">
        <f>IF(COUNTIF(Albums!F:F, A209)+0,"DONE","")&amp;IF(EXACT(A209,A208),"DONE","")</f>
        <v>DONE</v>
      </c>
    </row>
    <row r="210" spans="1:2" x14ac:dyDescent="0.75">
      <c r="A210" t="s">
        <v>191</v>
      </c>
      <c r="B210" t="str">
        <f>IF(COUNTIF(Albums!F:F, A210)+0,"DONE","")&amp;IF(EXACT(A210,A209),"DONE","")</f>
        <v>DONE</v>
      </c>
    </row>
    <row r="211" spans="1:2" x14ac:dyDescent="0.75">
      <c r="A211" t="s">
        <v>193</v>
      </c>
      <c r="B211" t="str">
        <f>IF(COUNTIF(Albums!F:F, A211)+0,"DONE","")&amp;IF(EXACT(A211,A210),"DONE","")</f>
        <v>DONE</v>
      </c>
    </row>
    <row r="212" spans="1:2" x14ac:dyDescent="0.75">
      <c r="A212" t="s">
        <v>194</v>
      </c>
      <c r="B212" t="str">
        <f>IF(COUNTIF(Albums!F:F, A212)+0,"DONE","")&amp;IF(EXACT(A212,A211),"DONE","")</f>
        <v>DONE</v>
      </c>
    </row>
    <row r="213" spans="1:2" x14ac:dyDescent="0.75">
      <c r="A213" t="s">
        <v>206</v>
      </c>
      <c r="B213" t="str">
        <f>IF(COUNTIF(Albums!F:F, A213)+0,"DONE","")&amp;IF(EXACT(A213,A212),"DONE","")</f>
        <v>DONE</v>
      </c>
    </row>
    <row r="214" spans="1:2" x14ac:dyDescent="0.75">
      <c r="A214" t="s">
        <v>207</v>
      </c>
      <c r="B214" t="str">
        <f>IF(COUNTIF(Albums!F:F, A214)+0,"DONE","")&amp;IF(EXACT(A214,A213),"DONE","")</f>
        <v>DONE</v>
      </c>
    </row>
    <row r="215" spans="1:2" x14ac:dyDescent="0.75">
      <c r="A215" t="s">
        <v>195</v>
      </c>
      <c r="B215" t="str">
        <f>IF(COUNTIF(Albums!F:F, A215)+0,"DONE","")&amp;IF(EXACT(A215,A214),"DONE","")</f>
        <v>DONE</v>
      </c>
    </row>
    <row r="216" spans="1:2" x14ac:dyDescent="0.75">
      <c r="A216" t="s">
        <v>196</v>
      </c>
      <c r="B216" t="str">
        <f>IF(COUNTIF(Albums!F:F, A216)+0,"DONE","")&amp;IF(EXACT(A216,A215),"DONE","")</f>
        <v>DONE</v>
      </c>
    </row>
    <row r="217" spans="1:2" x14ac:dyDescent="0.75">
      <c r="A217" t="s">
        <v>197</v>
      </c>
      <c r="B217" t="str">
        <f>IF(COUNTIF(Albums!F:F, A217)+0,"DONE","")&amp;IF(EXACT(A217,A216),"DONE","")</f>
        <v>DONE</v>
      </c>
    </row>
    <row r="218" spans="1:2" x14ac:dyDescent="0.75">
      <c r="A218" t="s">
        <v>198</v>
      </c>
      <c r="B218" t="str">
        <f>IF(COUNTIF(Albums!F:F, A218)+0,"DONE","")&amp;IF(EXACT(A218,A217),"DONE","")</f>
        <v>DONE</v>
      </c>
    </row>
    <row r="219" spans="1:2" x14ac:dyDescent="0.75">
      <c r="A219" t="s">
        <v>199</v>
      </c>
      <c r="B219" t="str">
        <f>IF(COUNTIF(Albums!F:F, A219)+0,"DONE","")&amp;IF(EXACT(A219,A218),"DONE","")</f>
        <v>DONE</v>
      </c>
    </row>
    <row r="220" spans="1:2" x14ac:dyDescent="0.75">
      <c r="A220" t="s">
        <v>200</v>
      </c>
      <c r="B220" t="str">
        <f>IF(COUNTIF(Albums!F:F, A220)+0,"DONE","")&amp;IF(EXACT(A220,A219),"DONE","")</f>
        <v>DONE</v>
      </c>
    </row>
    <row r="221" spans="1:2" x14ac:dyDescent="0.75">
      <c r="A221" t="s">
        <v>201</v>
      </c>
      <c r="B221" t="str">
        <f>IF(COUNTIF(Albums!F:F, A221)+0,"DONE","")&amp;IF(EXACT(A221,A220),"DONE","")</f>
        <v>DONE</v>
      </c>
    </row>
    <row r="222" spans="1:2" x14ac:dyDescent="0.75">
      <c r="A222" t="s">
        <v>202</v>
      </c>
      <c r="B222" t="str">
        <f>IF(COUNTIF(Albums!F:F, A222)+0,"DONE","")&amp;IF(EXACT(A222,A221),"DONE","")</f>
        <v>DONE</v>
      </c>
    </row>
    <row r="223" spans="1:2" x14ac:dyDescent="0.75">
      <c r="A223" t="s">
        <v>203</v>
      </c>
      <c r="B223" t="str">
        <f>IF(COUNTIF(Albums!F:F, A223)+0,"DONE","")&amp;IF(EXACT(A223,A222),"DONE","")</f>
        <v>DONE</v>
      </c>
    </row>
    <row r="224" spans="1:2" x14ac:dyDescent="0.75">
      <c r="A224" t="s">
        <v>192</v>
      </c>
      <c r="B224" t="str">
        <f>IF(COUNTIF(Albums!F:F, A224)+0,"DONE","")&amp;IF(EXACT(A224,A223),"DONE","")</f>
        <v>DONE</v>
      </c>
    </row>
    <row r="225" spans="1:2" x14ac:dyDescent="0.75">
      <c r="A225" t="s">
        <v>205</v>
      </c>
      <c r="B225" t="str">
        <f>IF(COUNTIF(Albums!F:F, A225)+0,"DONE","")&amp;IF(EXACT(A225,A224),"DONE","")</f>
        <v>DONE</v>
      </c>
    </row>
    <row r="226" spans="1:2" x14ac:dyDescent="0.75">
      <c r="A226" t="s">
        <v>208</v>
      </c>
      <c r="B226" t="str">
        <f>IF(COUNTIF(Albums!F:F, A226)+0,"DONE","")&amp;IF(EXACT(A226,A225),"DONE","")</f>
        <v>DONE</v>
      </c>
    </row>
    <row r="227" spans="1:2" x14ac:dyDescent="0.75">
      <c r="A227" t="s">
        <v>209</v>
      </c>
      <c r="B227" t="str">
        <f>IF(COUNTIF(Albums!F:F, A227)+0,"DONE","")&amp;IF(EXACT(A227,A226),"DONE","")</f>
        <v>DONE</v>
      </c>
    </row>
    <row r="228" spans="1:2" x14ac:dyDescent="0.75">
      <c r="A228" t="s">
        <v>211</v>
      </c>
      <c r="B228" t="str">
        <f>IF(COUNTIF(Albums!F:F, A228)+0,"DONE","")&amp;IF(EXACT(A228,A227),"DONE","")</f>
        <v>DONE</v>
      </c>
    </row>
    <row r="229" spans="1:2" x14ac:dyDescent="0.75">
      <c r="A229" t="s">
        <v>213</v>
      </c>
      <c r="B229" t="str">
        <f>IF(COUNTIF(Albums!F:F, A229)+0,"DONE","")&amp;IF(EXACT(A229,A228),"DONE","")</f>
        <v>DONE</v>
      </c>
    </row>
    <row r="230" spans="1:2" x14ac:dyDescent="0.75">
      <c r="A230" t="s">
        <v>212</v>
      </c>
      <c r="B230" t="str">
        <f>IF(COUNTIF(Albums!F:F, A230)+0,"DONE","")&amp;IF(EXACT(A230,A229),"DONE","")</f>
        <v>DONE</v>
      </c>
    </row>
    <row r="231" spans="1:2" x14ac:dyDescent="0.75">
      <c r="A231" t="s">
        <v>214</v>
      </c>
      <c r="B231" t="str">
        <f>IF(COUNTIF(Albums!F:F, A231)+0,"DONE","")&amp;IF(EXACT(A231,A230),"DONE","")</f>
        <v>DONE</v>
      </c>
    </row>
    <row r="232" spans="1:2" x14ac:dyDescent="0.75">
      <c r="A232" t="s">
        <v>216</v>
      </c>
      <c r="B232" t="str">
        <f>IF(COUNTIF(Albums!F:F, A232)+0,"DONE","")&amp;IF(EXACT(A232,A231),"DONE","")</f>
        <v>DONE</v>
      </c>
    </row>
    <row r="233" spans="1:2" x14ac:dyDescent="0.75">
      <c r="A233" t="s">
        <v>217</v>
      </c>
      <c r="B233" t="str">
        <f>IF(COUNTIF(Albums!F:F, A233)+0,"DONE","")&amp;IF(EXACT(A233,A232),"DONE","")</f>
        <v>DONE</v>
      </c>
    </row>
    <row r="234" spans="1:2" x14ac:dyDescent="0.75">
      <c r="A234" t="s">
        <v>215</v>
      </c>
      <c r="B234" t="str">
        <f>IF(COUNTIF(Albums!F:F, A234)+0,"DONE","")&amp;IF(EXACT(A234,A233),"DONE","")</f>
        <v>DONE</v>
      </c>
    </row>
    <row r="235" spans="1:2" x14ac:dyDescent="0.75">
      <c r="A235" t="s">
        <v>218</v>
      </c>
      <c r="B235" t="str">
        <f>IF(COUNTIF(Albums!F:F, A235)+0,"DONE","")&amp;IF(EXACT(A235,A234),"DONE","")</f>
        <v>DONE</v>
      </c>
    </row>
  </sheetData>
  <autoFilter ref="A1:B235" xr:uid="{438D44EA-5F81-436F-9734-EDB83E5D9149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VGMdbExtract</vt:lpstr>
      <vt:lpstr>Albums</vt:lpstr>
      <vt:lpstr>TestVGMdbURL</vt:lpstr>
      <vt:lpstr>AddlVGMdbExtract</vt:lpstr>
      <vt:lpstr>VGMdbExtract!name_sourcecode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Gulliksen</dc:creator>
  <cp:lastModifiedBy>David Gulliksen</cp:lastModifiedBy>
  <dcterms:created xsi:type="dcterms:W3CDTF">2026-04-19T18:50:16Z</dcterms:created>
  <dcterms:modified xsi:type="dcterms:W3CDTF">2026-05-09T13:33:42Z</dcterms:modified>
</cp:coreProperties>
</file>