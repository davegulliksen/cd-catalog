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aveg\GitHub\CD-Catalog\"/>
    </mc:Choice>
  </mc:AlternateContent>
  <xr:revisionPtr revIDLastSave="0" documentId="8_{84035C16-36AA-45AB-8382-9ED4E65F815F}" xr6:coauthVersionLast="47" xr6:coauthVersionMax="47" xr10:uidLastSave="{00000000-0000-0000-0000-000000000000}"/>
  <bookViews>
    <workbookView xWindow="0" yWindow="0" windowWidth="19380" windowHeight="10980" activeTab="1" xr2:uid="{EDDFAF75-69E1-4C5E-B890-71137E307843}"/>
  </bookViews>
  <sheets>
    <sheet name="cds" sheetId="1" r:id="rId1"/>
    <sheet name="Sheet1" sheetId="2" r:id="rId2"/>
  </sheets>
  <calcPr calcId="0"/>
</workbook>
</file>

<file path=xl/calcChain.xml><?xml version="1.0" encoding="utf-8"?>
<calcChain xmlns="http://schemas.openxmlformats.org/spreadsheetml/2006/main">
  <c r="G1" i="2" l="1" a="1"/>
  <c r="G1" i="2" s="1"/>
  <c r="G2" i="2" a="1"/>
  <c r="G2" i="2" s="1"/>
  <c r="E3" i="2"/>
  <c r="E2" i="2"/>
  <c r="E1" i="2"/>
  <c r="B8" i="2"/>
  <c r="B9" i="2" s="1"/>
  <c r="E4" i="2" l="1"/>
  <c r="G3" i="2" a="1"/>
  <c r="G3" i="2" s="1"/>
  <c r="E5" i="2" l="1"/>
  <c r="G4" i="2" a="1"/>
  <c r="G4" i="2" s="1"/>
  <c r="E6" i="2" l="1"/>
  <c r="G5" i="2" a="1"/>
  <c r="G5" i="2" s="1"/>
  <c r="E7" i="2" l="1"/>
  <c r="G6" i="2" a="1"/>
  <c r="G6" i="2" s="1"/>
  <c r="E8" i="2" l="1"/>
  <c r="G7" i="2" a="1"/>
  <c r="G7" i="2" s="1"/>
  <c r="E9" i="2" l="1"/>
  <c r="G8" i="2" a="1"/>
  <c r="G8" i="2" s="1"/>
  <c r="E10" i="2" l="1"/>
  <c r="G9" i="2" a="1"/>
  <c r="G9" i="2" s="1"/>
  <c r="G10" i="2" l="1" a="1"/>
  <c r="G10" i="2" s="1"/>
  <c r="E11" i="2"/>
  <c r="G11" i="2" s="1" a="1"/>
  <c r="G1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<sst xmlns="http://schemas.openxmlformats.org/spreadsheetml/2006/main" count="303" uniqueCount="193">
  <si>
    <t>[</t>
  </si>
  <si>
    <t xml:space="preserve">  {</t>
  </si>
  <si>
    <t xml:space="preserve">    "CatalogNumber": "PCCG-00258 in cardboard box with story book",</t>
  </si>
  <si>
    <t xml:space="preserve">    "Title": "Ah! My Goddess Original Soundtrack Vol.2 Super PCCG-00258",</t>
  </si>
  <si>
    <t xml:space="preserve">    "Series": "Ah! My Goddess!",</t>
  </si>
  <si>
    <t xml:space="preserve">    "Label": "PONY CANYON",</t>
  </si>
  <si>
    <t xml:space="preserve">    "Year": 1994,</t>
  </si>
  <si>
    <t xml:space="preserve">    "Description": "Unique Archivistâ€™s Set of this disc. The included 78-page Super Booklet was carefully disassembled to create a high-resolution digital preservation of this material which was uploaded to VGMdb.net. Includes cardboard case in the original glassine envelope, with original advertising sticker. Registration card included. The buyer will receive a thumb drive containing all scans at 600 dpi and a full English translation of the booklet.",</t>
  </si>
  <si>
    <t xml:space="preserve">    "Condition": "The book's pages are in excellent condition except for having been separated into individual pages for scanning and could be rebound. The paper cover in the CD case has one corner that was folded over. The cardboard case is in excellent condition. The original glassine envelope is in great condition with the sticky edge still fresh. The disc and plastic case are in like new condition.",</t>
  </si>
  <si>
    <t xml:space="preserve">    "Price": 50,</t>
  </si>
  <si>
    <t xml:space="preserve">    "Image": "https://raw.githubusercontent.com/davegulliksen/cd-catalog/main/CD/PCCG-00258_cover.jpg",</t>
  </si>
  <si>
    <t xml:space="preserve">    "PurchaseEmail": "mailto:DaveGUrgent@aol.com?subject=Purchase%20Request%20for%20PCCG-00258",</t>
  </si>
  <si>
    <t xml:space="preserve">    "PurchaseMessenger": "https://www.facebook.com/messages/t/61570931248770?ref=PCCG-00258"</t>
  </si>
  <si>
    <t xml:space="preserve">  },    </t>
  </si>
  <si>
    <t xml:space="preserve">    "CatalogNumber": "COCC-10689",</t>
  </si>
  <si>
    <t xml:space="preserve">    "Title": "~Electronic Game Music Collection~ COCC-10689",</t>
  </si>
  <si>
    <t xml:space="preserve">    "Series": "Ranma 1/2",</t>
  </si>
  <si>
    <t xml:space="preserve">    "Label": "Columbia",</t>
  </si>
  <si>
    <t xml:space="preserve">    "Year": 1993,</t>
  </si>
  <si>
    <t xml:space="preserve">    "Description": "Includes obi and a large sticker identical to the case cover.",</t>
  </si>
  <si>
    <t xml:space="preserve">    "Condition": "Excellent used copy. No fading or damage to the case or insert. Disc is bright and shiny, tested.",</t>
  </si>
  <si>
    <t xml:space="preserve">    "Price": 10.00,</t>
  </si>
  <si>
    <t xml:space="preserve">    "Image": "https://raw.githubusercontent.com/davegulliksen/cd-catalog/main/CD/COCC-10689_cover.jpg",</t>
  </si>
  <si>
    <t xml:space="preserve">    "PurchaseEmail": "mailto:DaveGUrgent@aol.com?subject=Purchase%20Request%20for%20COCC-10689",</t>
  </si>
  <si>
    <t xml:space="preserve">    "PurchaseMessenger": "https://www.facebook.com/messages/t/61570931248770?ref=COCC-10689"</t>
  </si>
  <si>
    <t xml:space="preserve">    "CatalogNumber": "PCCG-00195 reprint of PCCG-00101",</t>
  </si>
  <si>
    <t xml:space="preserve">    "Title": "1991 Song Calendar PCCG-00195",</t>
  </si>
  <si>
    <t xml:space="preserve">    "Year": 1990,</t>
  </si>
  <si>
    <t xml:space="preserve">    "Description": "Original thin case, 24 pg booklet &amp; obi, in original plastic envelope",</t>
  </si>
  <si>
    <t xml:space="preserve">    "Condition": "Small superficial scuffs on the back case, otherwise NM",</t>
  </si>
  <si>
    <t xml:space="preserve">    "Price": 16,</t>
  </si>
  <si>
    <t xml:space="preserve">    "Image": "https://raw.githubusercontent.com/davegulliksen/cd-catalog/main/CD/PCCG-00195_cover.jpg",</t>
  </si>
  <si>
    <t xml:space="preserve">    "PurchaseEmail": "mailto:DaveGUrgent@aol.com?subject=Purchase%20Request%20for%20PCCG-00195",</t>
  </si>
  <si>
    <t xml:space="preserve">    "PurchaseMessenger": "https://www.facebook.com/messages/t/61570931248770?ref=PCCG-00195"</t>
  </si>
  <si>
    <t xml:space="preserve">    "CatalogNumber": "PCCG-00156",</t>
  </si>
  <si>
    <t xml:space="preserve">    "Title": "Big Trouble in Nekonron, China PCCG-00156",</t>
  </si>
  <si>
    <t xml:space="preserve">    "Year": 1991,</t>
  </si>
  <si>
    <t xml:space="preserve">    "Description": "All NM except slight wear on booklet spine &amp; two strips missing from 5-strip sicker page.",</t>
  </si>
  <si>
    <t xml:space="preserve">    "Condition": "Comes with tape/CD srickers, obi and 8-page booklet. It was not issued with back panel.",</t>
  </si>
  <si>
    <t xml:space="preserve">    "Price": 15.00,</t>
  </si>
  <si>
    <t xml:space="preserve">    "Image": "https://raw.githubusercontent.com/davegulliksen/cd-catalog/main/CD/PCCG-00156_cover.jpg",</t>
  </si>
  <si>
    <t xml:space="preserve">    "PurchaseEmail": "mailto:DaveGUrgent@aol.com?subject=Purchase%20Request%20for%20PCCG-00156",</t>
  </si>
  <si>
    <t xml:space="preserve">    "PurchaseMessenger": "https://www.facebook.com/messages/t/61570931248770?ref=PCCG-00156"</t>
  </si>
  <si>
    <t xml:space="preserve">    "CatalogNumber": "PCCG-00191",</t>
  </si>
  <si>
    <t xml:space="preserve">    "Title": "Closing Theme Song Collection PCCG-00191",</t>
  </si>
  <si>
    <t xml:space="preserve">    "Year": 1992,</t>
  </si>
  <si>
    <t xml:space="preserve">    "Description": "Comes with 8-page booklet and obi.",</t>
  </si>
  <si>
    <t xml:space="preserve">    "Condition": "Superficial scratches and one deeper scratch on front cover, boooklet slight wear on spine,, all else NM",</t>
  </si>
  <si>
    <t xml:space="preserve">    "Price": 18,</t>
  </si>
  <si>
    <t xml:space="preserve">    "Image": "https://raw.githubusercontent.com/davegulliksen/cd-catalog/main/CD/PCCG-00191_cover.jpg",</t>
  </si>
  <si>
    <t xml:space="preserve">    "PurchaseEmail": "mailto:DaveGUrgent@aol.com?subject=Purchase%20Request%20for%20PCCG-00191",</t>
  </si>
  <si>
    <t xml:space="preserve">    "PurchaseMessenger": "https://www.facebook.com/messages/t/61570931248770?ref=PCCG-00191"</t>
  </si>
  <si>
    <t xml:space="preserve">    "CatalogNumber": "PCCG-00327",</t>
  </si>
  <si>
    <t xml:space="preserve">    "Title": "DoCo Original Kaoroke PCCG-00327",</t>
  </si>
  <si>
    <t xml:space="preserve">    "Year": 1995,</t>
  </si>
  <si>
    <t xml:space="preserve">    "Description": "RARE! Original thin case, with 16 page booklet, DoCo promo  ad, and obi",</t>
  </si>
  <si>
    <t xml:space="preserve">    "Condition": "slight superficial scratches on back cover, otherwise NM",</t>
  </si>
  <si>
    <t xml:space="preserve">    "Price": 40,</t>
  </si>
  <si>
    <t xml:space="preserve">    "Image": "https://raw.githubusercontent.com/davegulliksen/cd-catalog/main/CD/PCCG-00327_cover.jpg",</t>
  </si>
  <si>
    <t xml:space="preserve">    "PurchaseEmail": "mailto:DaveGUrgent@aol.com?subject=Purchase%20Request%20for%20PCCG-00327",</t>
  </si>
  <si>
    <t xml:space="preserve">    "PurchaseMessenger": "https://www.facebook.com/messages/t/61570931248770?ref=PCCG-00327"</t>
  </si>
  <si>
    <t xml:space="preserve">    "CatalogNumber": "PCCG-00326",</t>
  </si>
  <si>
    <t xml:space="preserve">    "Title": "DoCoâ˜†Second PCCG-00326",</t>
  </si>
  <si>
    <t xml:space="preserve">    "Description": "This comes with the CD in the CD case with all blank inserts ready for stickers. Also in the cardboard case are two 15-page sets of stickers to use on the CD inserts. This is all inside the original plastic envelope with an advertising sticker.",</t>
  </si>
  <si>
    <t xml:space="preserve">    "Condition": "All NM, including cardboard case. Rarely complete in this condition.",</t>
  </si>
  <si>
    <t xml:space="preserve">    "Image": "https://raw.githubusercontent.com/davegulliksen/cd-catalog/main/CD/PCCG-00326_cover.jpg",</t>
  </si>
  <si>
    <t xml:space="preserve">    "PurchaseEmail": "mailto:DaveGUrgent@aol.com?subject=Purchase%20Request%20for%20PCCG-00326",</t>
  </si>
  <si>
    <t xml:space="preserve">    "PurchaseMessenger": "https://www.facebook.com/messages/t/61570931248770?ref=PCCG-00326"</t>
  </si>
  <si>
    <t xml:space="preserve">    "CatalogNumber": "KICS-100",</t>
  </si>
  <si>
    <t xml:space="preserve">    "Title": "Half and, Half KICS-100",</t>
  </si>
  <si>
    <t xml:space="preserve">    "Label": "STARCHILD",</t>
  </si>
  <si>
    <t xml:space="preserve">    "Description": "CD includes 24 page picture booklet, full page insert of lyrics, and obi.",</t>
  </si>
  <si>
    <t xml:space="preserve">    "Condition": "Good used copy. front case has two 1 inch cracks. white case is slightly yellowed, booklet has some wear on the edge. Otherwise good shape. Disc shiny and unmarked, inserts bright and clean, no sun damage on paper.",</t>
  </si>
  <si>
    <t xml:space="preserve">    "Price": 8.00,</t>
  </si>
  <si>
    <t xml:space="preserve">    "Image": "https://raw.githubusercontent.com/davegulliksen/cd-catalog/main/CD/KICS-100_cover.jpg",</t>
  </si>
  <si>
    <t xml:space="preserve">    "PurchaseEmail": "mailto:DaveGUrgent@aol.com?subject=Purchase%20Request%20for%20KICS-100",</t>
  </si>
  <si>
    <t xml:space="preserve">    "PurchaseMessenger": "https://www.facebook.com/messages/t/61570931248770?ref=KICS-100"</t>
  </si>
  <si>
    <t xml:space="preserve">    "CatalogNumber": "PCCG-00186",</t>
  </si>
  <si>
    <t xml:space="preserve">    "Title": "Kessen Tougenkyou! Hanayome o Torimodose!! PCCG-00186",</t>
  </si>
  <si>
    <t xml:space="preserve">    "Description": "Oversized CD case, with a 40 page booklet containing stickers and the scenes to stick them on. Also has a large ad for Maison ikkoku. Comes with obi. In otiginal plastic envelope.",</t>
  </si>
  <si>
    <t xml:space="preserve">    "Condition": "All NM",</t>
  </si>
  <si>
    <t xml:space="preserve">    "Image": "https://raw.githubusercontent.com/davegulliksen/cd-catalog/main/CD/PCCG-00186_cover.jpg",</t>
  </si>
  <si>
    <t xml:space="preserve">    "PurchaseEmail": "mailto:DaveGUrgent@aol.com?subject=Purchase%20Request%20for%20PCCG-00186",</t>
  </si>
  <si>
    <t xml:space="preserve">    "PurchaseMessenger": "https://www.facebook.com/messages/t/61570931248770?ref=PCCG-00186"</t>
  </si>
  <si>
    <t xml:space="preserve">    "CatalogNumber": "PCCG-00196 reprint of PCCG-00142",</t>
  </si>
  <si>
    <t xml:space="preserve">    "Title": "Kikaku Omban III DoCoâ˜†FIRST PCCG-00196",</t>
  </si>
  <si>
    <t xml:space="preserve">    "Description": "Original thin case. Comes with 16 page booklet and obi, inside original plastic envelpe.",</t>
  </si>
  <si>
    <t xml:space="preserve">    "Condition": "NM all",</t>
  </si>
  <si>
    <t xml:space="preserve">    "Price": 30,</t>
  </si>
  <si>
    <t xml:space="preserve">    "Image": "https://raw.githubusercontent.com/davegulliksen/cd-catalog/main/CD/PCCG-00196_cover.jpg",</t>
  </si>
  <si>
    <t xml:space="preserve">    "PurchaseEmail": "mailto:DaveGUrgent@aol.com?subject=Purchase%20Request%20for%20PCCG-00196",</t>
  </si>
  <si>
    <t xml:space="preserve">    "PurchaseMessenger": "https://www.facebook.com/messages/t/61570931248770?ref=PCCG-00196"</t>
  </si>
  <si>
    <t xml:space="preserve">    "CatalogNumber": "KACD-3004",</t>
  </si>
  <si>
    <t xml:space="preserve">    "Title": "Music Calendar 1995 KACD-3004",</t>
  </si>
  <si>
    <t xml:space="preserve">    "Label": "Kitty RECORDS",</t>
  </si>
  <si>
    <t xml:space="preserve">    "Description": "A difficult to find release with songs and dialog tracks featuring conversations between Kappei Yamaguchi (Ranma) and Noriko Hidaka (Akane). The 20-page booklet has staff, actor, and complete episode lists and more. There are 6 calendar cards and this copy has the obi and plastic envelope.",</t>
  </si>
  <si>
    <t xml:space="preserve">    "Condition": "Used copy, everything is in like new condition: no sun fades or disc scratches. Disc has been tested.",</t>
  </si>
  <si>
    <t xml:space="preserve">    "Price": 22.00,</t>
  </si>
  <si>
    <t xml:space="preserve">    "Image": "https://raw.githubusercontent.com/davegulliksen/cd-catalog/main/CD/KACD-3004_cover.jpg",</t>
  </si>
  <si>
    <t xml:space="preserve">    "PurchaseEmail": "mailto:DaveGUrgent@aol.com?subject=Purchase%20Request%20for%20KACD-3004",</t>
  </si>
  <si>
    <t xml:space="preserve">    "PurchaseMessenger": "https://www.facebook.com/messages/t/61570931248770?ref=KACD-3004"</t>
  </si>
  <si>
    <t xml:space="preserve">    "CatalogNumber": "PCCG-00013",</t>
  </si>
  <si>
    <t xml:space="preserve">    "Title": "RanmaÂ½ Nettou Ongakuhen PCCG-00013",</t>
  </si>
  <si>
    <t xml:space="preserve">    "Description": "Comes with 8-page booklet &amp; obi",</t>
  </si>
  <si>
    <t xml:space="preserve">    "Condition": "NM, all like new",</t>
  </si>
  <si>
    <t xml:space="preserve">    "Image": "https://raw.githubusercontent.com/davegulliksen/cd-catalog/main/CD/PCCG-00013_cover.jpg",</t>
  </si>
  <si>
    <t xml:space="preserve">    "PurchaseEmail": "mailto:DaveGUrgent@aol.com?subject=Purchase%20Request%20for%20PCCG-00013",</t>
  </si>
  <si>
    <t xml:space="preserve">    "PurchaseMessenger": "https://www.facebook.com/messages/t/61570931248770?ref=PCCG-00013"</t>
  </si>
  <si>
    <t xml:space="preserve">    "CatalogNumber": "PCCG-00086",</t>
  </si>
  <si>
    <t xml:space="preserve">    "Title": "Ranma 1/2: Hot Song Contest PCCG-00086",</t>
  </si>
  <si>
    <t xml:space="preserve">    "Description": "Includes 16-page booklet &amp; obi",</t>
  </si>
  <si>
    <t xml:space="preserve">    "Condition": "Some light superficial scratches on the cover, otherwise NM",</t>
  </si>
  <si>
    <t xml:space="preserve">    "Price": 15,</t>
  </si>
  <si>
    <t xml:space="preserve">    "Image": "https://raw.githubusercontent.com/davegulliksen/cd-catalog/main/CD/PCCG-00086_cover.jpg",</t>
  </si>
  <si>
    <t xml:space="preserve">    "PurchaseEmail": "mailto:DaveGUrgent@aol.com?subject=Purchase%20Request%20for%20PCCG-00086",</t>
  </si>
  <si>
    <t xml:space="preserve">    "PurchaseMessenger": "https://www.facebook.com/messages/t/61570931248770?ref=PCCG-00086"</t>
  </si>
  <si>
    <t xml:space="preserve">    "CatalogNumber": "CD-RA04 (U.S. printing of PCCG-00186)",</t>
  </si>
  <si>
    <t xml:space="preserve">    "Title": "Ranma 1/2: The Movie 2: Nihao My Concubine CD-RA04",</t>
  </si>
  <si>
    <t xml:space="preserve">    "Label": "Viz Music",</t>
  </si>
  <si>
    <t xml:space="preserve">    "Description": "Comes with insert. Was not released with obi.",</t>
  </si>
  <si>
    <t xml:space="preserve">    "Condition": "Excellent used condition.",</t>
  </si>
  <si>
    <t xml:space="preserve">    "Price": 16.00,</t>
  </si>
  <si>
    <t xml:space="preserve">    "Image": "https://raw.githubusercontent.com/davegulliksen/cd-catalog/main/CD/CD-RA04_cover.jpg",</t>
  </si>
  <si>
    <t xml:space="preserve">    "PurchaseEmail": "mailto:DaveGUrgent@aol.com?subject=Purchase%20Request%20for%20CD-RA04",</t>
  </si>
  <si>
    <t xml:space="preserve">    "PurchaseMessenger": "https://www.facebook.com/messages/t/61570931248770?ref=CD-RA04"</t>
  </si>
  <si>
    <t xml:space="preserve">    "CatalogNumber": "D27G-1003",</t>
  </si>
  <si>
    <t xml:space="preserve">    "Title": "Ongaku Doujo 1 D27G-1003",</t>
  </si>
  <si>
    <t xml:space="preserve">    "Year": 1989,</t>
  </si>
  <si>
    <t xml:space="preserve">    "Description": "Includes 12 page booklet and obi.",</t>
  </si>
  <si>
    <t xml:space="preserve">    "Condition": "Used NM. No sun fading, disc shiny &amp; unmarked",</t>
  </si>
  <si>
    <t xml:space="preserve">    "Price": 14.00,</t>
  </si>
  <si>
    <t xml:space="preserve">    "Image": "https://raw.githubusercontent.com/davegulliksen/cd-catalog/main/CD/D27G-1003_cover.jpg",</t>
  </si>
  <si>
    <t xml:space="preserve">    "PurchaseEmail": "mailto:DaveGUrgent@aol.com?subject=Purchase%20Request%20for%20D27G-1003",</t>
  </si>
  <si>
    <t xml:space="preserve">    "PurchaseMessenger": "https://www.facebook.com/messages/t/61570931248770?ref=D27G-1003"</t>
  </si>
  <si>
    <t xml:space="preserve">    "CatalogNumber": "KTCR-1356",</t>
  </si>
  <si>
    <t xml:space="preserve">    "Title": "RanmaÂ½ : Ironman Music Collection KTCR-1356",</t>
  </si>
  <si>
    <t xml:space="preserve">    "Description": "Rare disc, comes with 20-page booklet &amp; obi",</t>
  </si>
  <si>
    <t xml:space="preserve">    "Condition": "All VF, disc bright and clean, booklet has 2 slight case tab impressions",</t>
  </si>
  <si>
    <t xml:space="preserve">    "Image": "https://raw.githubusercontent.com/davegulliksen/cd-catalog/main/CD/KTCR-1356_cover.jpg",</t>
  </si>
  <si>
    <t xml:space="preserve">    "PurchaseEmail": "mailto:DaveGUrgent@aol.com?subject=Purchase%20Request%20for%20KTCR-1356",</t>
  </si>
  <si>
    <t xml:space="preserve">    "PurchaseMessenger": "https://www.facebook.com/messages/t/61570931248770?ref=KTCR-1356"</t>
  </si>
  <si>
    <t xml:space="preserve">    "CatalogNumber": "PCCG-00190",</t>
  </si>
  <si>
    <t xml:space="preserve">    "Title": "Opening Shudai-ka Shuu (Opening Theme Song Collection) PCCG-00190",</t>
  </si>
  <si>
    <t xml:space="preserve">    "Description": "Comes with 20-page booklet &amp; obi",</t>
  </si>
  <si>
    <t xml:space="preserve">    "Condition": "Case has minor superficial scratches, otherwise all NM.",</t>
  </si>
  <si>
    <t xml:space="preserve">    "Price": 22,</t>
  </si>
  <si>
    <t xml:space="preserve">    "Image": "https://raw.githubusercontent.com/davegulliksen/cd-catalog/main/CD/PCCG-00190_cover.jpg",</t>
  </si>
  <si>
    <t xml:space="preserve">    "PurchaseEmail": "mailto:DaveGUrgent@aol.com?subject=Purchase%20Request%20for%20PCCG-00190",</t>
  </si>
  <si>
    <t xml:space="preserve">    "PurchaseMessenger": "https://www.facebook.com/messages/t/61570931248770?ref=PCCG-00190"</t>
  </si>
  <si>
    <t xml:space="preserve">    "CatalogNumber": "KTCR-1269",</t>
  </si>
  <si>
    <t xml:space="preserve">    "Title": "RanmaÂ½ Choumusabetsu Kessen! Movie vs OVA Music Compilation KTCR-1269",</t>
  </si>
  <si>
    <t xml:space="preserve">    "Description": "Includes 12-page booklet, advertising insert, obi.",</t>
  </si>
  <si>
    <t xml:space="preserve">    "Condition": "Back case has half inch crack, otherwise NM, no sun damage, inserts like new.",</t>
  </si>
  <si>
    <t xml:space="preserve">    "Price": 25.00,</t>
  </si>
  <si>
    <t xml:space="preserve">    "Image": "https://raw.githubusercontent.com/davegulliksen/cd-catalog/main/CD/KTCR-1269_cover.jpg",</t>
  </si>
  <si>
    <t xml:space="preserve">    "PurchaseEmail": "mailto:DaveGUrgent@aol.com?subject=Purchase%20Request%20for%20KTCR-1269",</t>
  </si>
  <si>
    <t xml:space="preserve">    "PurchaseMessenger": "https://www.facebook.com/messages/t/61570931248770?ref=KTCR-1269"</t>
  </si>
  <si>
    <t xml:space="preserve">    "CatalogNumber": "PCCG-00175",</t>
  </si>
  <si>
    <t xml:space="preserve">    "Title": "Saikyou Ongaku-hen PCCG-00175(2nd_copy)",</t>
  </si>
  <si>
    <t xml:space="preserve">    "Description": "This is a copy of the Ranma 1/2 ('Strongest Music Compilation') original soundtrack, featuring the later-series BGM composed by Akihisa Matsuura and Kenji Kawai. This album is famous for its more 'mellow' and sophisticated synthesizer arrangements compared to the early slapstick tracks. It comes with obi and has the entire 20-page chibi sticker book. It comes in a plastic wrapper.",</t>
  </si>
  <si>
    <t xml:space="preserve">    "Condition": "VF condition in original plastic envelope",</t>
  </si>
  <si>
    <t xml:space="preserve">    "Price": 35,</t>
  </si>
  <si>
    <t xml:space="preserve">    "Image": "https://raw.githubusercontent.com/davegulliksen/cd-catalog/main/CD/PCCG-00175(2nd_copy)_cover.jpg",</t>
  </si>
  <si>
    <t xml:space="preserve">    "PurchaseEmail": "mailto:DaveGUrgent@aol.com?subject=Purchase%20Request%20for%20PCCG-00175(2nd_copy)",</t>
  </si>
  <si>
    <t xml:space="preserve">    "PurchaseMessenger": "https://www.facebook.com/messages/t/61570931248770?ref=PCCG-00175(2nd_copy)"</t>
  </si>
  <si>
    <t xml:space="preserve">    "Title": "Saikyou Ongaku-hen PCCG-00175",</t>
  </si>
  <si>
    <t xml:space="preserve">    "Condition": "VF condition in original plastic envelope, although the obi is faded on the edge from the sun.",</t>
  </si>
  <si>
    <t xml:space="preserve">    "Price": 32,</t>
  </si>
  <si>
    <t xml:space="preserve">    "Image": "https://raw.githubusercontent.com/davegulliksen/cd-catalog/main/CD/PCCG-00175_cover.jpg",</t>
  </si>
  <si>
    <t xml:space="preserve">    "PurchaseEmail": "mailto:DaveGUrgent@aol.com?subject=Purchase%20Request%20for%20PCCG-00175",</t>
  </si>
  <si>
    <t xml:space="preserve">    "PurchaseMessenger": "https://www.facebook.com/messages/t/61570931248770?ref=PCCG-00175"</t>
  </si>
  <si>
    <t xml:space="preserve">    "CatalogNumber": "PCCG-00491",</t>
  </si>
  <si>
    <t xml:space="preserve">    "Title": "TV Theme Songs Complete PCCG-00491",</t>
  </si>
  <si>
    <t xml:space="preserve">    "Year": 1999,</t>
  </si>
  <si>
    <t xml:space="preserve">    "Description": "Original thin case, with lyrics sheet and obi.",</t>
  </si>
  <si>
    <t xml:space="preserve">    "Condition": "Slight superficial scratches on the back case, otherwise NM",</t>
  </si>
  <si>
    <t xml:space="preserve">    "Price": 25,</t>
  </si>
  <si>
    <t xml:space="preserve">    "Image": "https://raw.githubusercontent.com/davegulliksen/cd-catalog/main/CD/PCCG-00491_cover.jpg",</t>
  </si>
  <si>
    <t xml:space="preserve">    "PurchaseEmail": "mailto:DaveGUrgent@aol.com?subject=Purchase%20Request%20for%20PCCG-00491",</t>
  </si>
  <si>
    <t xml:space="preserve">    "PurchaseMessenger": "https://www.facebook.com/messages/t/61570931248770?ref=PCCG-00491"</t>
  </si>
  <si>
    <t>null]</t>
  </si>
  <si>
    <t>header lines:</t>
  </si>
  <si>
    <t>footer lines:</t>
  </si>
  <si>
    <t>ending lines:</t>
  </si>
  <si>
    <t>total lines:</t>
  </si>
  <si>
    <t>Total CDs:</t>
  </si>
  <si>
    <t>Text</t>
  </si>
  <si>
    <t>URL</t>
  </si>
  <si>
    <t>Link</t>
  </si>
  <si>
    <t>Data Lines per CD:</t>
  </si>
  <si>
    <t>\n</t>
  </si>
  <si>
    <t>TEXT</t>
  </si>
  <si>
    <t>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</si>
</sst>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double">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10" xfId="0" applyBorder="1"/>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53EF0-90F7-4E8C-AF80-6C300F925A6C}">
  <dimension ref="A1:A296"/>
  <sheetViews>
    <sheetView workbookViewId="0">
      <selection activeCell="A3" sqref="A3"/>
    </sheetView>
  </sheetViews>
  <sheetFormatPr defaultRowHeight="14.75" x14ac:dyDescent="0.75"/>
  <sheetData>
    <row r="1" spans="1:1" x14ac:dyDescent="0.75">
      <c r="A1" t="s">
        <v>0</v>
      </c>
    </row>
    <row r="2" spans="1:1" x14ac:dyDescent="0.75">
      <c r="A2" t="s">
        <v>1</v>
      </c>
    </row>
    <row r="3" spans="1:1" x14ac:dyDescent="0.75">
      <c r="A3" t="s">
        <v>2</v>
      </c>
    </row>
    <row r="4" spans="1:1" x14ac:dyDescent="0.75">
      <c r="A4" t="s">
        <v>3</v>
      </c>
    </row>
    <row r="5" spans="1:1" x14ac:dyDescent="0.75">
      <c r="A5" t="s">
        <v>4</v>
      </c>
    </row>
    <row r="6" spans="1:1" x14ac:dyDescent="0.75">
      <c r="A6" t="s">
        <v>5</v>
      </c>
    </row>
    <row r="7" spans="1:1" x14ac:dyDescent="0.75">
      <c r="A7" t="s">
        <v>6</v>
      </c>
    </row>
    <row r="8" spans="1:1" x14ac:dyDescent="0.75">
      <c r="A8" t="s">
        <v>7</v>
      </c>
    </row>
    <row r="9" spans="1:1" x14ac:dyDescent="0.75">
      <c r="A9" t="s">
        <v>8</v>
      </c>
    </row>
    <row r="10" spans="1:1" x14ac:dyDescent="0.75">
      <c r="A10" t="s">
        <v>9</v>
      </c>
    </row>
    <row r="11" spans="1:1" x14ac:dyDescent="0.75">
      <c r="A11" t="s">
        <v>10</v>
      </c>
    </row>
    <row r="12" spans="1:1" x14ac:dyDescent="0.75">
      <c r="A12" t="s">
        <v>11</v>
      </c>
    </row>
    <row r="13" spans="1:1" x14ac:dyDescent="0.75">
      <c r="A13" t="s">
        <v>12</v>
      </c>
    </row>
    <row r="14" spans="1:1" x14ac:dyDescent="0.75">
      <c r="A14" t="s">
        <v>13</v>
      </c>
    </row>
    <row r="16" spans="1:1" x14ac:dyDescent="0.75">
      <c r="A16" t="s">
        <v>1</v>
      </c>
    </row>
    <row r="17" spans="1:1" x14ac:dyDescent="0.75">
      <c r="A17" t="s">
        <v>14</v>
      </c>
    </row>
    <row r="18" spans="1:1" x14ac:dyDescent="0.75">
      <c r="A18" t="s">
        <v>15</v>
      </c>
    </row>
    <row r="19" spans="1:1" x14ac:dyDescent="0.75">
      <c r="A19" t="s">
        <v>16</v>
      </c>
    </row>
    <row r="20" spans="1:1" x14ac:dyDescent="0.75">
      <c r="A20" t="s">
        <v>17</v>
      </c>
    </row>
    <row r="21" spans="1:1" x14ac:dyDescent="0.75">
      <c r="A21" t="s">
        <v>18</v>
      </c>
    </row>
    <row r="22" spans="1:1" x14ac:dyDescent="0.75">
      <c r="A22" t="s">
        <v>19</v>
      </c>
    </row>
    <row r="23" spans="1:1" x14ac:dyDescent="0.75">
      <c r="A23" t="s">
        <v>20</v>
      </c>
    </row>
    <row r="24" spans="1:1" x14ac:dyDescent="0.75">
      <c r="A24" t="s">
        <v>21</v>
      </c>
    </row>
    <row r="25" spans="1:1" x14ac:dyDescent="0.75">
      <c r="A25" t="s">
        <v>22</v>
      </c>
    </row>
    <row r="26" spans="1:1" x14ac:dyDescent="0.75">
      <c r="A26" t="s">
        <v>23</v>
      </c>
    </row>
    <row r="27" spans="1:1" x14ac:dyDescent="0.75">
      <c r="A27" t="s">
        <v>24</v>
      </c>
    </row>
    <row r="28" spans="1:1" x14ac:dyDescent="0.75">
      <c r="A28" t="s">
        <v>13</v>
      </c>
    </row>
    <row r="30" spans="1:1" x14ac:dyDescent="0.75">
      <c r="A30" t="s">
        <v>1</v>
      </c>
    </row>
    <row r="31" spans="1:1" x14ac:dyDescent="0.75">
      <c r="A31" t="s">
        <v>25</v>
      </c>
    </row>
    <row r="32" spans="1:1" x14ac:dyDescent="0.75">
      <c r="A32" t="s">
        <v>26</v>
      </c>
    </row>
    <row r="33" spans="1:1" x14ac:dyDescent="0.75">
      <c r="A33" t="s">
        <v>16</v>
      </c>
    </row>
    <row r="34" spans="1:1" x14ac:dyDescent="0.75">
      <c r="A34" t="s">
        <v>5</v>
      </c>
    </row>
    <row r="35" spans="1:1" x14ac:dyDescent="0.75">
      <c r="A35" t="s">
        <v>27</v>
      </c>
    </row>
    <row r="36" spans="1:1" x14ac:dyDescent="0.75">
      <c r="A36" t="s">
        <v>28</v>
      </c>
    </row>
    <row r="37" spans="1:1" x14ac:dyDescent="0.75">
      <c r="A37" t="s">
        <v>29</v>
      </c>
    </row>
    <row r="38" spans="1:1" x14ac:dyDescent="0.75">
      <c r="A38" t="s">
        <v>30</v>
      </c>
    </row>
    <row r="39" spans="1:1" x14ac:dyDescent="0.75">
      <c r="A39" t="s">
        <v>31</v>
      </c>
    </row>
    <row r="40" spans="1:1" x14ac:dyDescent="0.75">
      <c r="A40" t="s">
        <v>32</v>
      </c>
    </row>
    <row r="41" spans="1:1" x14ac:dyDescent="0.75">
      <c r="A41" t="s">
        <v>33</v>
      </c>
    </row>
    <row r="42" spans="1:1" x14ac:dyDescent="0.75">
      <c r="A42" t="s">
        <v>13</v>
      </c>
    </row>
    <row r="44" spans="1:1" x14ac:dyDescent="0.75">
      <c r="A44" t="s">
        <v>1</v>
      </c>
    </row>
    <row r="45" spans="1:1" x14ac:dyDescent="0.75">
      <c r="A45" t="s">
        <v>34</v>
      </c>
    </row>
    <row r="46" spans="1:1" x14ac:dyDescent="0.75">
      <c r="A46" t="s">
        <v>35</v>
      </c>
    </row>
    <row r="47" spans="1:1" x14ac:dyDescent="0.75">
      <c r="A47" t="s">
        <v>16</v>
      </c>
    </row>
    <row r="48" spans="1:1" x14ac:dyDescent="0.75">
      <c r="A48" t="s">
        <v>5</v>
      </c>
    </row>
    <row r="49" spans="1:1" x14ac:dyDescent="0.75">
      <c r="A49" t="s">
        <v>36</v>
      </c>
    </row>
    <row r="50" spans="1:1" x14ac:dyDescent="0.75">
      <c r="A50" t="s">
        <v>37</v>
      </c>
    </row>
    <row r="51" spans="1:1" x14ac:dyDescent="0.75">
      <c r="A51" t="s">
        <v>38</v>
      </c>
    </row>
    <row r="52" spans="1:1" x14ac:dyDescent="0.75">
      <c r="A52" t="s">
        <v>39</v>
      </c>
    </row>
    <row r="53" spans="1:1" x14ac:dyDescent="0.75">
      <c r="A53" t="s">
        <v>40</v>
      </c>
    </row>
    <row r="54" spans="1:1" x14ac:dyDescent="0.75">
      <c r="A54" t="s">
        <v>41</v>
      </c>
    </row>
    <row r="55" spans="1:1" x14ac:dyDescent="0.75">
      <c r="A55" t="s">
        <v>42</v>
      </c>
    </row>
    <row r="56" spans="1:1" x14ac:dyDescent="0.75">
      <c r="A56" t="s">
        <v>13</v>
      </c>
    </row>
    <row r="58" spans="1:1" x14ac:dyDescent="0.75">
      <c r="A58" t="s">
        <v>1</v>
      </c>
    </row>
    <row r="59" spans="1:1" x14ac:dyDescent="0.75">
      <c r="A59" t="s">
        <v>43</v>
      </c>
    </row>
    <row r="60" spans="1:1" x14ac:dyDescent="0.75">
      <c r="A60" t="s">
        <v>44</v>
      </c>
    </row>
    <row r="61" spans="1:1" x14ac:dyDescent="0.75">
      <c r="A61" t="s">
        <v>16</v>
      </c>
    </row>
    <row r="62" spans="1:1" x14ac:dyDescent="0.75">
      <c r="A62" t="s">
        <v>5</v>
      </c>
    </row>
    <row r="63" spans="1:1" x14ac:dyDescent="0.75">
      <c r="A63" t="s">
        <v>45</v>
      </c>
    </row>
    <row r="64" spans="1:1" x14ac:dyDescent="0.75">
      <c r="A64" t="s">
        <v>46</v>
      </c>
    </row>
    <row r="65" spans="1:1" x14ac:dyDescent="0.75">
      <c r="A65" t="s">
        <v>47</v>
      </c>
    </row>
    <row r="66" spans="1:1" x14ac:dyDescent="0.75">
      <c r="A66" t="s">
        <v>48</v>
      </c>
    </row>
    <row r="67" spans="1:1" x14ac:dyDescent="0.75">
      <c r="A67" t="s">
        <v>49</v>
      </c>
    </row>
    <row r="68" spans="1:1" x14ac:dyDescent="0.75">
      <c r="A68" t="s">
        <v>50</v>
      </c>
    </row>
    <row r="69" spans="1:1" x14ac:dyDescent="0.75">
      <c r="A69" t="s">
        <v>51</v>
      </c>
    </row>
    <row r="70" spans="1:1" x14ac:dyDescent="0.75">
      <c r="A70" t="s">
        <v>13</v>
      </c>
    </row>
    <row r="72" spans="1:1" x14ac:dyDescent="0.75">
      <c r="A72" t="s">
        <v>1</v>
      </c>
    </row>
    <row r="73" spans="1:1" x14ac:dyDescent="0.75">
      <c r="A73" t="s">
        <v>52</v>
      </c>
    </row>
    <row r="74" spans="1:1" x14ac:dyDescent="0.75">
      <c r="A74" t="s">
        <v>53</v>
      </c>
    </row>
    <row r="75" spans="1:1" x14ac:dyDescent="0.75">
      <c r="A75" t="s">
        <v>16</v>
      </c>
    </row>
    <row r="76" spans="1:1" x14ac:dyDescent="0.75">
      <c r="A76" t="s">
        <v>5</v>
      </c>
    </row>
    <row r="77" spans="1:1" x14ac:dyDescent="0.75">
      <c r="A77" t="s">
        <v>54</v>
      </c>
    </row>
    <row r="78" spans="1:1" x14ac:dyDescent="0.75">
      <c r="A78" t="s">
        <v>55</v>
      </c>
    </row>
    <row r="79" spans="1:1" x14ac:dyDescent="0.75">
      <c r="A79" t="s">
        <v>56</v>
      </c>
    </row>
    <row r="80" spans="1:1" x14ac:dyDescent="0.75">
      <c r="A80" t="s">
        <v>57</v>
      </c>
    </row>
    <row r="81" spans="1:1" x14ac:dyDescent="0.75">
      <c r="A81" t="s">
        <v>58</v>
      </c>
    </row>
    <row r="82" spans="1:1" x14ac:dyDescent="0.75">
      <c r="A82" t="s">
        <v>59</v>
      </c>
    </row>
    <row r="83" spans="1:1" x14ac:dyDescent="0.75">
      <c r="A83" t="s">
        <v>60</v>
      </c>
    </row>
    <row r="84" spans="1:1" x14ac:dyDescent="0.75">
      <c r="A84" t="s">
        <v>13</v>
      </c>
    </row>
    <row r="86" spans="1:1" x14ac:dyDescent="0.75">
      <c r="A86" t="s">
        <v>1</v>
      </c>
    </row>
    <row r="87" spans="1:1" x14ac:dyDescent="0.75">
      <c r="A87" t="s">
        <v>61</v>
      </c>
    </row>
    <row r="88" spans="1:1" x14ac:dyDescent="0.75">
      <c r="A88" t="s">
        <v>62</v>
      </c>
    </row>
    <row r="89" spans="1:1" x14ac:dyDescent="0.75">
      <c r="A89" t="s">
        <v>16</v>
      </c>
    </row>
    <row r="90" spans="1:1" x14ac:dyDescent="0.75">
      <c r="A90" t="s">
        <v>5</v>
      </c>
    </row>
    <row r="91" spans="1:1" x14ac:dyDescent="0.75">
      <c r="A91" t="s">
        <v>6</v>
      </c>
    </row>
    <row r="92" spans="1:1" x14ac:dyDescent="0.75">
      <c r="A92" t="s">
        <v>63</v>
      </c>
    </row>
    <row r="93" spans="1:1" x14ac:dyDescent="0.75">
      <c r="A93" t="s">
        <v>64</v>
      </c>
    </row>
    <row r="94" spans="1:1" x14ac:dyDescent="0.75">
      <c r="A94" t="s">
        <v>57</v>
      </c>
    </row>
    <row r="95" spans="1:1" x14ac:dyDescent="0.75">
      <c r="A95" t="s">
        <v>65</v>
      </c>
    </row>
    <row r="96" spans="1:1" x14ac:dyDescent="0.75">
      <c r="A96" t="s">
        <v>66</v>
      </c>
    </row>
    <row r="97" spans="1:1" x14ac:dyDescent="0.75">
      <c r="A97" t="s">
        <v>67</v>
      </c>
    </row>
    <row r="98" spans="1:1" x14ac:dyDescent="0.75">
      <c r="A98" t="s">
        <v>13</v>
      </c>
    </row>
    <row r="100" spans="1:1" x14ac:dyDescent="0.75">
      <c r="A100" t="s">
        <v>1</v>
      </c>
    </row>
    <row r="101" spans="1:1" x14ac:dyDescent="0.75">
      <c r="A101" t="s">
        <v>68</v>
      </c>
    </row>
    <row r="102" spans="1:1" x14ac:dyDescent="0.75">
      <c r="A102" t="s">
        <v>69</v>
      </c>
    </row>
    <row r="103" spans="1:1" x14ac:dyDescent="0.75">
      <c r="A103" t="s">
        <v>16</v>
      </c>
    </row>
    <row r="104" spans="1:1" x14ac:dyDescent="0.75">
      <c r="A104" t="s">
        <v>70</v>
      </c>
    </row>
    <row r="105" spans="1:1" x14ac:dyDescent="0.75">
      <c r="A105" t="s">
        <v>36</v>
      </c>
    </row>
    <row r="106" spans="1:1" x14ac:dyDescent="0.75">
      <c r="A106" t="s">
        <v>71</v>
      </c>
    </row>
    <row r="107" spans="1:1" x14ac:dyDescent="0.75">
      <c r="A107" t="s">
        <v>72</v>
      </c>
    </row>
    <row r="108" spans="1:1" x14ac:dyDescent="0.75">
      <c r="A108" t="s">
        <v>73</v>
      </c>
    </row>
    <row r="109" spans="1:1" x14ac:dyDescent="0.75">
      <c r="A109" t="s">
        <v>74</v>
      </c>
    </row>
    <row r="110" spans="1:1" x14ac:dyDescent="0.75">
      <c r="A110" t="s">
        <v>75</v>
      </c>
    </row>
    <row r="111" spans="1:1" x14ac:dyDescent="0.75">
      <c r="A111" t="s">
        <v>76</v>
      </c>
    </row>
    <row r="112" spans="1:1" x14ac:dyDescent="0.75">
      <c r="A112" t="s">
        <v>13</v>
      </c>
    </row>
    <row r="114" spans="1:1" x14ac:dyDescent="0.75">
      <c r="A114" t="s">
        <v>1</v>
      </c>
    </row>
    <row r="115" spans="1:1" x14ac:dyDescent="0.75">
      <c r="A115" t="s">
        <v>77</v>
      </c>
    </row>
    <row r="116" spans="1:1" x14ac:dyDescent="0.75">
      <c r="A116" t="s">
        <v>78</v>
      </c>
    </row>
    <row r="117" spans="1:1" x14ac:dyDescent="0.75">
      <c r="A117" t="s">
        <v>16</v>
      </c>
    </row>
    <row r="118" spans="1:1" x14ac:dyDescent="0.75">
      <c r="A118" t="s">
        <v>5</v>
      </c>
    </row>
    <row r="119" spans="1:1" x14ac:dyDescent="0.75">
      <c r="A119" t="s">
        <v>45</v>
      </c>
    </row>
    <row r="120" spans="1:1" x14ac:dyDescent="0.75">
      <c r="A120" t="s">
        <v>79</v>
      </c>
    </row>
    <row r="121" spans="1:1" x14ac:dyDescent="0.75">
      <c r="A121" t="s">
        <v>80</v>
      </c>
    </row>
    <row r="122" spans="1:1" x14ac:dyDescent="0.75">
      <c r="A122" t="s">
        <v>57</v>
      </c>
    </row>
    <row r="123" spans="1:1" x14ac:dyDescent="0.75">
      <c r="A123" t="s">
        <v>81</v>
      </c>
    </row>
    <row r="124" spans="1:1" x14ac:dyDescent="0.75">
      <c r="A124" t="s">
        <v>82</v>
      </c>
    </row>
    <row r="125" spans="1:1" x14ac:dyDescent="0.75">
      <c r="A125" t="s">
        <v>83</v>
      </c>
    </row>
    <row r="126" spans="1:1" x14ac:dyDescent="0.75">
      <c r="A126" t="s">
        <v>13</v>
      </c>
    </row>
    <row r="128" spans="1:1" x14ac:dyDescent="0.75">
      <c r="A128" t="s">
        <v>1</v>
      </c>
    </row>
    <row r="129" spans="1:1" x14ac:dyDescent="0.75">
      <c r="A129" t="s">
        <v>84</v>
      </c>
    </row>
    <row r="130" spans="1:1" x14ac:dyDescent="0.75">
      <c r="A130" t="s">
        <v>85</v>
      </c>
    </row>
    <row r="131" spans="1:1" x14ac:dyDescent="0.75">
      <c r="A131" t="s">
        <v>16</v>
      </c>
    </row>
    <row r="132" spans="1:1" x14ac:dyDescent="0.75">
      <c r="A132" t="s">
        <v>5</v>
      </c>
    </row>
    <row r="133" spans="1:1" x14ac:dyDescent="0.75">
      <c r="A133" t="s">
        <v>45</v>
      </c>
    </row>
    <row r="134" spans="1:1" x14ac:dyDescent="0.75">
      <c r="A134" t="s">
        <v>86</v>
      </c>
    </row>
    <row r="135" spans="1:1" x14ac:dyDescent="0.75">
      <c r="A135" t="s">
        <v>87</v>
      </c>
    </row>
    <row r="136" spans="1:1" x14ac:dyDescent="0.75">
      <c r="A136" t="s">
        <v>88</v>
      </c>
    </row>
    <row r="137" spans="1:1" x14ac:dyDescent="0.75">
      <c r="A137" t="s">
        <v>89</v>
      </c>
    </row>
    <row r="138" spans="1:1" x14ac:dyDescent="0.75">
      <c r="A138" t="s">
        <v>90</v>
      </c>
    </row>
    <row r="139" spans="1:1" x14ac:dyDescent="0.75">
      <c r="A139" t="s">
        <v>91</v>
      </c>
    </row>
    <row r="140" spans="1:1" x14ac:dyDescent="0.75">
      <c r="A140" t="s">
        <v>13</v>
      </c>
    </row>
    <row r="142" spans="1:1" x14ac:dyDescent="0.75">
      <c r="A142" t="s">
        <v>1</v>
      </c>
    </row>
    <row r="143" spans="1:1" x14ac:dyDescent="0.75">
      <c r="A143" t="s">
        <v>92</v>
      </c>
    </row>
    <row r="144" spans="1:1" x14ac:dyDescent="0.75">
      <c r="A144" t="s">
        <v>93</v>
      </c>
    </row>
    <row r="145" spans="1:1" x14ac:dyDescent="0.75">
      <c r="A145" t="s">
        <v>16</v>
      </c>
    </row>
    <row r="146" spans="1:1" x14ac:dyDescent="0.75">
      <c r="A146" t="s">
        <v>94</v>
      </c>
    </row>
    <row r="147" spans="1:1" x14ac:dyDescent="0.75">
      <c r="A147" t="s">
        <v>6</v>
      </c>
    </row>
    <row r="148" spans="1:1" x14ac:dyDescent="0.75">
      <c r="A148" t="s">
        <v>95</v>
      </c>
    </row>
    <row r="149" spans="1:1" x14ac:dyDescent="0.75">
      <c r="A149" t="s">
        <v>96</v>
      </c>
    </row>
    <row r="150" spans="1:1" x14ac:dyDescent="0.75">
      <c r="A150" t="s">
        <v>97</v>
      </c>
    </row>
    <row r="151" spans="1:1" x14ac:dyDescent="0.75">
      <c r="A151" t="s">
        <v>98</v>
      </c>
    </row>
    <row r="152" spans="1:1" x14ac:dyDescent="0.75">
      <c r="A152" t="s">
        <v>99</v>
      </c>
    </row>
    <row r="153" spans="1:1" x14ac:dyDescent="0.75">
      <c r="A153" t="s">
        <v>100</v>
      </c>
    </row>
    <row r="154" spans="1:1" x14ac:dyDescent="0.75">
      <c r="A154" t="s">
        <v>13</v>
      </c>
    </row>
    <row r="156" spans="1:1" x14ac:dyDescent="0.75">
      <c r="A156" t="s">
        <v>1</v>
      </c>
    </row>
    <row r="157" spans="1:1" x14ac:dyDescent="0.75">
      <c r="A157" t="s">
        <v>101</v>
      </c>
    </row>
    <row r="158" spans="1:1" x14ac:dyDescent="0.75">
      <c r="A158" t="s">
        <v>102</v>
      </c>
    </row>
    <row r="159" spans="1:1" x14ac:dyDescent="0.75">
      <c r="A159" t="s">
        <v>16</v>
      </c>
    </row>
    <row r="160" spans="1:1" x14ac:dyDescent="0.75">
      <c r="A160" t="s">
        <v>5</v>
      </c>
    </row>
    <row r="161" spans="1:1" x14ac:dyDescent="0.75">
      <c r="A161" t="s">
        <v>27</v>
      </c>
    </row>
    <row r="162" spans="1:1" x14ac:dyDescent="0.75">
      <c r="A162" t="s">
        <v>103</v>
      </c>
    </row>
    <row r="163" spans="1:1" x14ac:dyDescent="0.75">
      <c r="A163" t="s">
        <v>104</v>
      </c>
    </row>
    <row r="164" spans="1:1" x14ac:dyDescent="0.75">
      <c r="A164" t="s">
        <v>88</v>
      </c>
    </row>
    <row r="165" spans="1:1" x14ac:dyDescent="0.75">
      <c r="A165" t="s">
        <v>105</v>
      </c>
    </row>
    <row r="166" spans="1:1" x14ac:dyDescent="0.75">
      <c r="A166" t="s">
        <v>106</v>
      </c>
    </row>
    <row r="167" spans="1:1" x14ac:dyDescent="0.75">
      <c r="A167" t="s">
        <v>107</v>
      </c>
    </row>
    <row r="168" spans="1:1" x14ac:dyDescent="0.75">
      <c r="A168" t="s">
        <v>13</v>
      </c>
    </row>
    <row r="170" spans="1:1" x14ac:dyDescent="0.75">
      <c r="A170" t="s">
        <v>1</v>
      </c>
    </row>
    <row r="171" spans="1:1" x14ac:dyDescent="0.75">
      <c r="A171" t="s">
        <v>108</v>
      </c>
    </row>
    <row r="172" spans="1:1" x14ac:dyDescent="0.75">
      <c r="A172" t="s">
        <v>109</v>
      </c>
    </row>
    <row r="173" spans="1:1" x14ac:dyDescent="0.75">
      <c r="A173" t="s">
        <v>16</v>
      </c>
    </row>
    <row r="174" spans="1:1" x14ac:dyDescent="0.75">
      <c r="A174" t="s">
        <v>5</v>
      </c>
    </row>
    <row r="175" spans="1:1" x14ac:dyDescent="0.75">
      <c r="A175" t="s">
        <v>45</v>
      </c>
    </row>
    <row r="176" spans="1:1" x14ac:dyDescent="0.75">
      <c r="A176" t="s">
        <v>110</v>
      </c>
    </row>
    <row r="177" spans="1:1" x14ac:dyDescent="0.75">
      <c r="A177" t="s">
        <v>111</v>
      </c>
    </row>
    <row r="178" spans="1:1" x14ac:dyDescent="0.75">
      <c r="A178" t="s">
        <v>112</v>
      </c>
    </row>
    <row r="179" spans="1:1" x14ac:dyDescent="0.75">
      <c r="A179" t="s">
        <v>113</v>
      </c>
    </row>
    <row r="180" spans="1:1" x14ac:dyDescent="0.75">
      <c r="A180" t="s">
        <v>114</v>
      </c>
    </row>
    <row r="181" spans="1:1" x14ac:dyDescent="0.75">
      <c r="A181" t="s">
        <v>115</v>
      </c>
    </row>
    <row r="182" spans="1:1" x14ac:dyDescent="0.75">
      <c r="A182" t="s">
        <v>13</v>
      </c>
    </row>
    <row r="184" spans="1:1" x14ac:dyDescent="0.75">
      <c r="A184" t="s">
        <v>1</v>
      </c>
    </row>
    <row r="185" spans="1:1" x14ac:dyDescent="0.75">
      <c r="A185" t="s">
        <v>116</v>
      </c>
    </row>
    <row r="186" spans="1:1" x14ac:dyDescent="0.75">
      <c r="A186" t="s">
        <v>117</v>
      </c>
    </row>
    <row r="187" spans="1:1" x14ac:dyDescent="0.75">
      <c r="A187" t="s">
        <v>16</v>
      </c>
    </row>
    <row r="188" spans="1:1" x14ac:dyDescent="0.75">
      <c r="A188" t="s">
        <v>118</v>
      </c>
    </row>
    <row r="189" spans="1:1" x14ac:dyDescent="0.75">
      <c r="A189" t="s">
        <v>45</v>
      </c>
    </row>
    <row r="190" spans="1:1" x14ac:dyDescent="0.75">
      <c r="A190" t="s">
        <v>119</v>
      </c>
    </row>
    <row r="191" spans="1:1" x14ac:dyDescent="0.75">
      <c r="A191" t="s">
        <v>120</v>
      </c>
    </row>
    <row r="192" spans="1:1" x14ac:dyDescent="0.75">
      <c r="A192" t="s">
        <v>121</v>
      </c>
    </row>
    <row r="193" spans="1:1" x14ac:dyDescent="0.75">
      <c r="A193" t="s">
        <v>122</v>
      </c>
    </row>
    <row r="194" spans="1:1" x14ac:dyDescent="0.75">
      <c r="A194" t="s">
        <v>123</v>
      </c>
    </row>
    <row r="195" spans="1:1" x14ac:dyDescent="0.75">
      <c r="A195" t="s">
        <v>124</v>
      </c>
    </row>
    <row r="196" spans="1:1" x14ac:dyDescent="0.75">
      <c r="A196" t="s">
        <v>13</v>
      </c>
    </row>
    <row r="198" spans="1:1" x14ac:dyDescent="0.75">
      <c r="A198" t="s">
        <v>1</v>
      </c>
    </row>
    <row r="199" spans="1:1" x14ac:dyDescent="0.75">
      <c r="A199" t="s">
        <v>125</v>
      </c>
    </row>
    <row r="200" spans="1:1" x14ac:dyDescent="0.75">
      <c r="A200" t="s">
        <v>126</v>
      </c>
    </row>
    <row r="201" spans="1:1" x14ac:dyDescent="0.75">
      <c r="A201" t="s">
        <v>16</v>
      </c>
    </row>
    <row r="202" spans="1:1" x14ac:dyDescent="0.75">
      <c r="A202" t="s">
        <v>5</v>
      </c>
    </row>
    <row r="203" spans="1:1" x14ac:dyDescent="0.75">
      <c r="A203" t="s">
        <v>127</v>
      </c>
    </row>
    <row r="204" spans="1:1" x14ac:dyDescent="0.75">
      <c r="A204" t="s">
        <v>128</v>
      </c>
    </row>
    <row r="205" spans="1:1" x14ac:dyDescent="0.75">
      <c r="A205" t="s">
        <v>129</v>
      </c>
    </row>
    <row r="206" spans="1:1" x14ac:dyDescent="0.75">
      <c r="A206" t="s">
        <v>130</v>
      </c>
    </row>
    <row r="207" spans="1:1" x14ac:dyDescent="0.75">
      <c r="A207" t="s">
        <v>131</v>
      </c>
    </row>
    <row r="208" spans="1:1" x14ac:dyDescent="0.75">
      <c r="A208" t="s">
        <v>132</v>
      </c>
    </row>
    <row r="209" spans="1:1" x14ac:dyDescent="0.75">
      <c r="A209" t="s">
        <v>133</v>
      </c>
    </row>
    <row r="210" spans="1:1" x14ac:dyDescent="0.75">
      <c r="A210" t="s">
        <v>13</v>
      </c>
    </row>
    <row r="212" spans="1:1" x14ac:dyDescent="0.75">
      <c r="A212" t="s">
        <v>1</v>
      </c>
    </row>
    <row r="213" spans="1:1" x14ac:dyDescent="0.75">
      <c r="A213" t="s">
        <v>134</v>
      </c>
    </row>
    <row r="214" spans="1:1" x14ac:dyDescent="0.75">
      <c r="A214" t="s">
        <v>135</v>
      </c>
    </row>
    <row r="215" spans="1:1" x14ac:dyDescent="0.75">
      <c r="A215" t="s">
        <v>16</v>
      </c>
    </row>
    <row r="216" spans="1:1" x14ac:dyDescent="0.75">
      <c r="A216" t="s">
        <v>94</v>
      </c>
    </row>
    <row r="217" spans="1:1" x14ac:dyDescent="0.75">
      <c r="A217" t="s">
        <v>54</v>
      </c>
    </row>
    <row r="218" spans="1:1" x14ac:dyDescent="0.75">
      <c r="A218" t="s">
        <v>136</v>
      </c>
    </row>
    <row r="219" spans="1:1" x14ac:dyDescent="0.75">
      <c r="A219" t="s">
        <v>137</v>
      </c>
    </row>
    <row r="220" spans="1:1" x14ac:dyDescent="0.75">
      <c r="A220" t="s">
        <v>57</v>
      </c>
    </row>
    <row r="221" spans="1:1" x14ac:dyDescent="0.75">
      <c r="A221" t="s">
        <v>138</v>
      </c>
    </row>
    <row r="222" spans="1:1" x14ac:dyDescent="0.75">
      <c r="A222" t="s">
        <v>139</v>
      </c>
    </row>
    <row r="223" spans="1:1" x14ac:dyDescent="0.75">
      <c r="A223" t="s">
        <v>140</v>
      </c>
    </row>
    <row r="224" spans="1:1" x14ac:dyDescent="0.75">
      <c r="A224" t="s">
        <v>13</v>
      </c>
    </row>
    <row r="226" spans="1:1" x14ac:dyDescent="0.75">
      <c r="A226" t="s">
        <v>1</v>
      </c>
    </row>
    <row r="227" spans="1:1" x14ac:dyDescent="0.75">
      <c r="A227" t="s">
        <v>141</v>
      </c>
    </row>
    <row r="228" spans="1:1" x14ac:dyDescent="0.75">
      <c r="A228" t="s">
        <v>142</v>
      </c>
    </row>
    <row r="229" spans="1:1" x14ac:dyDescent="0.75">
      <c r="A229" t="s">
        <v>16</v>
      </c>
    </row>
    <row r="230" spans="1:1" x14ac:dyDescent="0.75">
      <c r="A230" t="s">
        <v>5</v>
      </c>
    </row>
    <row r="231" spans="1:1" x14ac:dyDescent="0.75">
      <c r="A231" t="s">
        <v>45</v>
      </c>
    </row>
    <row r="232" spans="1:1" x14ac:dyDescent="0.75">
      <c r="A232" t="s">
        <v>143</v>
      </c>
    </row>
    <row r="233" spans="1:1" x14ac:dyDescent="0.75">
      <c r="A233" t="s">
        <v>144</v>
      </c>
    </row>
    <row r="234" spans="1:1" x14ac:dyDescent="0.75">
      <c r="A234" t="s">
        <v>145</v>
      </c>
    </row>
    <row r="235" spans="1:1" x14ac:dyDescent="0.75">
      <c r="A235" t="s">
        <v>146</v>
      </c>
    </row>
    <row r="236" spans="1:1" x14ac:dyDescent="0.75">
      <c r="A236" t="s">
        <v>147</v>
      </c>
    </row>
    <row r="237" spans="1:1" x14ac:dyDescent="0.75">
      <c r="A237" t="s">
        <v>148</v>
      </c>
    </row>
    <row r="238" spans="1:1" x14ac:dyDescent="0.75">
      <c r="A238" t="s">
        <v>13</v>
      </c>
    </row>
    <row r="240" spans="1:1" x14ac:dyDescent="0.75">
      <c r="A240" t="s">
        <v>1</v>
      </c>
    </row>
    <row r="241" spans="1:1" x14ac:dyDescent="0.75">
      <c r="A241" t="s">
        <v>149</v>
      </c>
    </row>
    <row r="242" spans="1:1" x14ac:dyDescent="0.75">
      <c r="A242" t="s">
        <v>150</v>
      </c>
    </row>
    <row r="243" spans="1:1" x14ac:dyDescent="0.75">
      <c r="A243" t="s">
        <v>16</v>
      </c>
    </row>
    <row r="244" spans="1:1" x14ac:dyDescent="0.75">
      <c r="A244" t="s">
        <v>94</v>
      </c>
    </row>
    <row r="245" spans="1:1" x14ac:dyDescent="0.75">
      <c r="A245" t="s">
        <v>6</v>
      </c>
    </row>
    <row r="246" spans="1:1" x14ac:dyDescent="0.75">
      <c r="A246" t="s">
        <v>151</v>
      </c>
    </row>
    <row r="247" spans="1:1" x14ac:dyDescent="0.75">
      <c r="A247" t="s">
        <v>152</v>
      </c>
    </row>
    <row r="248" spans="1:1" x14ac:dyDescent="0.75">
      <c r="A248" t="s">
        <v>153</v>
      </c>
    </row>
    <row r="249" spans="1:1" x14ac:dyDescent="0.75">
      <c r="A249" t="s">
        <v>154</v>
      </c>
    </row>
    <row r="250" spans="1:1" x14ac:dyDescent="0.75">
      <c r="A250" t="s">
        <v>155</v>
      </c>
    </row>
    <row r="251" spans="1:1" x14ac:dyDescent="0.75">
      <c r="A251" t="s">
        <v>156</v>
      </c>
    </row>
    <row r="252" spans="1:1" x14ac:dyDescent="0.75">
      <c r="A252" t="s">
        <v>13</v>
      </c>
    </row>
    <row r="254" spans="1:1" x14ac:dyDescent="0.75">
      <c r="A254" t="s">
        <v>1</v>
      </c>
    </row>
    <row r="255" spans="1:1" x14ac:dyDescent="0.75">
      <c r="A255" t="s">
        <v>157</v>
      </c>
    </row>
    <row r="256" spans="1:1" x14ac:dyDescent="0.75">
      <c r="A256" t="s">
        <v>158</v>
      </c>
    </row>
    <row r="257" spans="1:1" x14ac:dyDescent="0.75">
      <c r="A257" t="s">
        <v>16</v>
      </c>
    </row>
    <row r="258" spans="1:1" x14ac:dyDescent="0.75">
      <c r="A258" t="s">
        <v>5</v>
      </c>
    </row>
    <row r="259" spans="1:1" x14ac:dyDescent="0.75">
      <c r="A259" t="s">
        <v>45</v>
      </c>
    </row>
    <row r="260" spans="1:1" x14ac:dyDescent="0.75">
      <c r="A260" t="s">
        <v>159</v>
      </c>
    </row>
    <row r="261" spans="1:1" x14ac:dyDescent="0.75">
      <c r="A261" t="s">
        <v>160</v>
      </c>
    </row>
    <row r="262" spans="1:1" x14ac:dyDescent="0.75">
      <c r="A262" t="s">
        <v>161</v>
      </c>
    </row>
    <row r="263" spans="1:1" x14ac:dyDescent="0.75">
      <c r="A263" t="s">
        <v>162</v>
      </c>
    </row>
    <row r="264" spans="1:1" x14ac:dyDescent="0.75">
      <c r="A264" t="s">
        <v>163</v>
      </c>
    </row>
    <row r="265" spans="1:1" x14ac:dyDescent="0.75">
      <c r="A265" t="s">
        <v>164</v>
      </c>
    </row>
    <row r="266" spans="1:1" x14ac:dyDescent="0.75">
      <c r="A266" t="s">
        <v>13</v>
      </c>
    </row>
    <row r="268" spans="1:1" x14ac:dyDescent="0.75">
      <c r="A268" t="s">
        <v>1</v>
      </c>
    </row>
    <row r="269" spans="1:1" x14ac:dyDescent="0.75">
      <c r="A269" t="s">
        <v>157</v>
      </c>
    </row>
    <row r="270" spans="1:1" x14ac:dyDescent="0.75">
      <c r="A270" t="s">
        <v>165</v>
      </c>
    </row>
    <row r="271" spans="1:1" x14ac:dyDescent="0.75">
      <c r="A271" t="s">
        <v>16</v>
      </c>
    </row>
    <row r="272" spans="1:1" x14ac:dyDescent="0.75">
      <c r="A272" t="s">
        <v>5</v>
      </c>
    </row>
    <row r="273" spans="1:1" x14ac:dyDescent="0.75">
      <c r="A273" t="s">
        <v>45</v>
      </c>
    </row>
    <row r="274" spans="1:1" x14ac:dyDescent="0.75">
      <c r="A274" t="s">
        <v>159</v>
      </c>
    </row>
    <row r="275" spans="1:1" x14ac:dyDescent="0.75">
      <c r="A275" t="s">
        <v>166</v>
      </c>
    </row>
    <row r="276" spans="1:1" x14ac:dyDescent="0.75">
      <c r="A276" t="s">
        <v>167</v>
      </c>
    </row>
    <row r="277" spans="1:1" x14ac:dyDescent="0.75">
      <c r="A277" t="s">
        <v>168</v>
      </c>
    </row>
    <row r="278" spans="1:1" x14ac:dyDescent="0.75">
      <c r="A278" t="s">
        <v>169</v>
      </c>
    </row>
    <row r="279" spans="1:1" x14ac:dyDescent="0.75">
      <c r="A279" t="s">
        <v>170</v>
      </c>
    </row>
    <row r="280" spans="1:1" x14ac:dyDescent="0.75">
      <c r="A280" t="s">
        <v>13</v>
      </c>
    </row>
    <row r="282" spans="1:1" x14ac:dyDescent="0.75">
      <c r="A282" t="s">
        <v>1</v>
      </c>
    </row>
    <row r="283" spans="1:1" x14ac:dyDescent="0.75">
      <c r="A283" t="s">
        <v>171</v>
      </c>
    </row>
    <row r="284" spans="1:1" x14ac:dyDescent="0.75">
      <c r="A284" t="s">
        <v>172</v>
      </c>
    </row>
    <row r="285" spans="1:1" x14ac:dyDescent="0.75">
      <c r="A285" t="s">
        <v>16</v>
      </c>
    </row>
    <row r="286" spans="1:1" x14ac:dyDescent="0.75">
      <c r="A286" t="s">
        <v>5</v>
      </c>
    </row>
    <row r="287" spans="1:1" x14ac:dyDescent="0.75">
      <c r="A287" t="s">
        <v>173</v>
      </c>
    </row>
    <row r="288" spans="1:1" x14ac:dyDescent="0.75">
      <c r="A288" t="s">
        <v>174</v>
      </c>
    </row>
    <row r="289" spans="1:1" x14ac:dyDescent="0.75">
      <c r="A289" t="s">
        <v>175</v>
      </c>
    </row>
    <row r="290" spans="1:1" x14ac:dyDescent="0.75">
      <c r="A290" t="s">
        <v>176</v>
      </c>
    </row>
    <row r="291" spans="1:1" x14ac:dyDescent="0.75">
      <c r="A291" t="s">
        <v>177</v>
      </c>
    </row>
    <row r="292" spans="1:1" x14ac:dyDescent="0.75">
      <c r="A292" t="s">
        <v>178</v>
      </c>
    </row>
    <row r="293" spans="1:1" x14ac:dyDescent="0.75">
      <c r="A293" t="s">
        <v>179</v>
      </c>
    </row>
    <row r="294" spans="1:1" x14ac:dyDescent="0.75">
      <c r="A294" t="s">
        <v>13</v>
      </c>
    </row>
    <row r="296" spans="1:1" x14ac:dyDescent="0.75">
      <c r="A296" t="s">
        <v>180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ED49F-FC33-40DF-8433-E45959309908}">
  <dimension ref="A1:G11"/>
  <sheetViews>
    <sheetView tabSelected="1" workbookViewId="0">
      <selection activeCell="G1" sqref="G1"/>
    </sheetView>
  </sheetViews>
  <sheetFormatPr defaultRowHeight="14.75" x14ac:dyDescent="0.75"/>
  <cols>
    <col min="1" max="1" width="19.90625" customWidth="1"/>
  </cols>
  <sheetData>
    <row r="1" spans="1:7" x14ac:dyDescent="0.75">
      <c r="A1" t="s">
        <v>186</v>
      </c>
      <c r="B1">
        <v>9</v>
      </c>
      <c r="D1" t="s">
        <v>191</v>
      </c>
      <c r="E1">
        <f>B5+ROW()+1</f>
        <v>4</v>
      </c>
      <c r="F1" s="2" t="s">
        <v>190</v>
      </c>
      <c r="G1" t="str" cm="1">
        <f t="array" ref="G1">MID(TRIM(INDEX(cds!A:A,Sheet1!E1)&amp;F1),10,300)</f>
        <v>"Ah! My Goddess Original Soundtrack Vol.2 Super PCCG-00258",\n</v>
      </c>
    </row>
    <row r="2" spans="1:7" x14ac:dyDescent="0.75">
      <c r="A2" t="s">
        <v>187</v>
      </c>
      <c r="B2">
        <v>1</v>
      </c>
      <c r="D2" t="s">
        <v>191</v>
      </c>
      <c r="E2">
        <f>-1+E1</f>
        <v>3</v>
      </c>
      <c r="F2" s="2" t="s">
        <v>190</v>
      </c>
      <c r="G2" t="str" cm="1">
        <f t="array" ref="G2">TRIM(INDEX(cds!A:A,Sheet1!E2)&amp;F2)</f>
        <v>"CatalogNumber": "PCCG-00258 in cardboard box with story book",\n</v>
      </c>
    </row>
    <row r="3" spans="1:7" x14ac:dyDescent="0.75">
      <c r="A3" t="s">
        <v>188</v>
      </c>
      <c r="B3">
        <v>1</v>
      </c>
      <c r="D3" t="s">
        <v>191</v>
      </c>
      <c r="E3">
        <f>2+E2</f>
        <v>5</v>
      </c>
      <c r="F3" s="2" t="s">
        <v>190</v>
      </c>
      <c r="G3" t="str" cm="1">
        <f t="array" ref="G3">TRIM(INDEX(cds!A:A,Sheet1!E3)&amp;F3)</f>
        <v>"Series": "Ah! My Goddess!",\n</v>
      </c>
    </row>
    <row r="4" spans="1:7" ht="15.5" thickBot="1" x14ac:dyDescent="0.9">
      <c r="A4" t="s">
        <v>189</v>
      </c>
      <c r="B4" s="1">
        <v>11</v>
      </c>
      <c r="D4" t="s">
        <v>191</v>
      </c>
      <c r="E4">
        <f t="shared" ref="E3:E11" si="0">1+E3</f>
        <v>6</v>
      </c>
      <c r="F4" s="2" t="s">
        <v>190</v>
      </c>
      <c r="G4" t="str" cm="1">
        <f t="array" ref="G4">TRIM(INDEX(cds!A:A,Sheet1!E4)&amp;F4)</f>
        <v>"Label": "PONY CANYON",\n</v>
      </c>
    </row>
    <row r="5" spans="1:7" ht="15.5" thickTop="1" x14ac:dyDescent="0.75">
      <c r="A5" t="s">
        <v>181</v>
      </c>
      <c r="B5">
        <v>2</v>
      </c>
      <c r="D5" t="s">
        <v>191</v>
      </c>
      <c r="E5">
        <f t="shared" si="0"/>
        <v>7</v>
      </c>
      <c r="F5" s="2" t="s">
        <v>190</v>
      </c>
      <c r="G5" t="str" cm="1">
        <f t="array" ref="G5">TRIM(INDEX(cds!A:A,Sheet1!E5)&amp;F5)</f>
        <v>"Year": 1994,\n</v>
      </c>
    </row>
    <row r="6" spans="1:7" x14ac:dyDescent="0.75">
      <c r="A6" t="s">
        <v>182</v>
      </c>
      <c r="B6">
        <v>1</v>
      </c>
      <c r="D6" t="s">
        <v>191</v>
      </c>
      <c r="E6">
        <f t="shared" si="0"/>
        <v>8</v>
      </c>
      <c r="F6" s="2" t="s">
        <v>190</v>
      </c>
      <c r="G6" t="str" cm="1">
        <f t="array" ref="G6">TRIM(INDEX(cds!A:A,Sheet1!E6)&amp;F6)</f>
        <v>"Description": "Unique Archivistâ€™s Set of this disc. The included 78-page Super Booklet was carefully disassembled to create a high-resolution digital preservation of this material which was uploaded to VGMdb.net. Includes cardboard case in the original glassine envelope, with original advertising sticker. Registration card included. The buyer will receive a thumb drive containing all scans at 600 dpi and a full English translation of the booklet.",\n</v>
      </c>
    </row>
    <row r="7" spans="1:7" x14ac:dyDescent="0.75">
      <c r="A7" t="s">
        <v>183</v>
      </c>
      <c r="B7">
        <v>2</v>
      </c>
      <c r="D7" t="s">
        <v>191</v>
      </c>
      <c r="E7">
        <f t="shared" si="0"/>
        <v>9</v>
      </c>
      <c r="F7" s="2" t="s">
        <v>190</v>
      </c>
      <c r="G7" t="str" cm="1">
        <f t="array" ref="G7">TRIM(INDEX(cds!A:A,Sheet1!E7)&amp;F7)</f>
        <v>"Condition": "The book's pages are in excellent condition except for having been separated into individual pages for scanning and could be rebound. The paper cover in the CD case has one corner that was folded over. The cardboard case is in excellent condition. The original glassine envelope is in great condition with the sticky edge still fresh. The disc and plastic case are in like new condition.",\n</v>
      </c>
    </row>
    <row r="8" spans="1:7" x14ac:dyDescent="0.75">
      <c r="A8" t="s">
        <v>184</v>
      </c>
      <c r="B8">
        <f>MATCH("null]",cds!A:A,0)</f>
        <v>296</v>
      </c>
      <c r="D8" t="s">
        <v>191</v>
      </c>
      <c r="E8">
        <f t="shared" si="0"/>
        <v>10</v>
      </c>
      <c r="F8" s="2" t="s">
        <v>190</v>
      </c>
      <c r="G8" t="str" cm="1">
        <f t="array" ref="G8">TRIM(INDEX(cds!A:A,Sheet1!E8)&amp;F8)</f>
        <v>"Price": 50,\n</v>
      </c>
    </row>
    <row r="9" spans="1:7" x14ac:dyDescent="0.75">
      <c r="A9" t="s">
        <v>185</v>
      </c>
      <c r="B9">
        <f>(B8-B7)/SUM(B4:B6)</f>
        <v>21</v>
      </c>
      <c r="D9" t="s">
        <v>191</v>
      </c>
      <c r="E9">
        <f t="shared" si="0"/>
        <v>11</v>
      </c>
      <c r="F9" s="2"/>
      <c r="G9" t="str" cm="1">
        <f t="array" ref="G9">TRIM(INDEX(cds!A:A,Sheet1!E9))</f>
        <v>"Image": "https://raw.githubusercontent.com/davegulliksen/cd-catalog/main/CD/PCCG-00258_cover.jpg",</v>
      </c>
    </row>
    <row r="10" spans="1:7" x14ac:dyDescent="0.75">
      <c r="D10" t="s">
        <v>187</v>
      </c>
      <c r="E10">
        <f t="shared" si="0"/>
        <v>12</v>
      </c>
      <c r="G10" t="str" cm="1">
        <f t="array" ref="G10">TRIM(INDEX(cds!A:A,Sheet1!E10))</f>
        <v>"PurchaseEmail": "mailto:DaveGUrgent@aol.com?subject=Purchase%20Request%20for%20PCCG-00258",</v>
      </c>
    </row>
    <row r="11" spans="1:7" x14ac:dyDescent="0.75">
      <c r="D11" t="s">
        <v>192</v>
      </c>
      <c r="E11">
        <f t="shared" si="0"/>
        <v>13</v>
      </c>
      <c r="G11" t="str" cm="1">
        <f t="array" ref="G11">TRIM(INDEX(cds!A:A,Sheet1!E11))</f>
        <v>"PurchaseMessenger": "https://www.facebook.com/messages/t/61570931248770?ref=PCCG-00258"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cds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Gulliksen</dc:creator>
  <cp:lastModifiedBy>David Gulliksen</cp:lastModifiedBy>
  <dcterms:created xsi:type="dcterms:W3CDTF">2026-02-18T18:04:12Z</dcterms:created>
  <dcterms:modified xsi:type="dcterms:W3CDTF">2026-02-18T18:04:12Z</dcterms:modified>
</cp:coreProperties>
</file>